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defaultThemeVersion="124226"/>
  <bookViews>
    <workbookView xWindow="0" yWindow="75" windowWidth="28755" windowHeight="12600" activeTab="3"/>
  </bookViews>
  <sheets>
    <sheet name="таблица" sheetId="1" r:id="rId1"/>
    <sheet name="график" sheetId="2" r:id="rId2"/>
    <sheet name="подбор параметра" sheetId="3" r:id="rId3"/>
    <sheet name="Макросы" sheetId="5" r:id="rId4"/>
  </sheets>
  <calcPr calcId="125725"/>
</workbook>
</file>

<file path=xl/calcChain.xml><?xml version="1.0" encoding="utf-8"?>
<calcChain xmlns="http://schemas.openxmlformats.org/spreadsheetml/2006/main">
  <c r="H3" i="2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"/>
  <c r="G25" i="3"/>
  <c r="G16"/>
  <c r="G7"/>
  <c r="B7"/>
  <c r="B34"/>
  <c r="B25"/>
  <c r="B16"/>
  <c r="D22" i="1"/>
  <c r="E22"/>
  <c r="F22"/>
  <c r="H22"/>
  <c r="G22"/>
  <c r="J22"/>
  <c r="I22"/>
  <c r="C22"/>
  <c r="E7"/>
  <c r="K22"/>
  <c r="H30"/>
  <c r="E30"/>
  <c r="I30" s="1"/>
  <c r="I29"/>
  <c r="H29"/>
  <c r="E29"/>
  <c r="H28"/>
  <c r="E28"/>
  <c r="I28" s="1"/>
  <c r="H34"/>
  <c r="E34"/>
  <c r="I34" s="1"/>
  <c r="H31"/>
  <c r="E31"/>
  <c r="I31" s="1"/>
  <c r="H33"/>
  <c r="E33"/>
  <c r="I33" s="1"/>
  <c r="H25"/>
  <c r="E25"/>
  <c r="I25" s="1"/>
  <c r="I27"/>
  <c r="H27"/>
  <c r="E27"/>
  <c r="H26"/>
  <c r="E26"/>
  <c r="I26" s="1"/>
  <c r="H32"/>
  <c r="E32"/>
  <c r="I32" s="1"/>
  <c r="L12"/>
  <c r="L22" s="1"/>
  <c r="L13"/>
  <c r="L14"/>
  <c r="L15"/>
  <c r="L16"/>
  <c r="L17"/>
  <c r="L18"/>
  <c r="L19"/>
  <c r="L20"/>
  <c r="L11"/>
  <c r="K12"/>
  <c r="K13"/>
  <c r="K14"/>
  <c r="K15"/>
  <c r="K16"/>
  <c r="K17"/>
  <c r="K18"/>
  <c r="K19"/>
  <c r="K20"/>
  <c r="K11"/>
  <c r="J12"/>
  <c r="J13"/>
  <c r="J14"/>
  <c r="J15"/>
  <c r="J16"/>
  <c r="J17"/>
  <c r="J18"/>
  <c r="J19"/>
  <c r="J20"/>
  <c r="J11"/>
  <c r="I12"/>
  <c r="I13"/>
  <c r="I14"/>
  <c r="I15"/>
  <c r="I16"/>
  <c r="I17"/>
  <c r="I18"/>
  <c r="I19"/>
  <c r="I20"/>
  <c r="I11"/>
  <c r="H12"/>
  <c r="H13"/>
  <c r="H14"/>
  <c r="H15"/>
  <c r="H16"/>
  <c r="H17"/>
  <c r="H18"/>
  <c r="H19"/>
  <c r="H20"/>
  <c r="H11"/>
  <c r="E12"/>
  <c r="E13"/>
  <c r="E14"/>
  <c r="E15"/>
  <c r="E16"/>
  <c r="E17"/>
  <c r="E18"/>
  <c r="E19"/>
  <c r="E20"/>
  <c r="E11"/>
  <c r="J30" l="1"/>
  <c r="K30" s="1"/>
  <c r="L30" s="1"/>
  <c r="J26"/>
  <c r="K26" s="1"/>
  <c r="L26" s="1"/>
  <c r="J33"/>
  <c r="K33" s="1"/>
  <c r="L33" s="1"/>
  <c r="J27"/>
  <c r="K27" s="1"/>
  <c r="L27" s="1"/>
  <c r="J28"/>
  <c r="K28" s="1"/>
  <c r="L28" s="1"/>
  <c r="J32"/>
  <c r="K32" s="1"/>
  <c r="L32" s="1"/>
  <c r="J31"/>
  <c r="K31" s="1"/>
  <c r="L31" s="1"/>
  <c r="J29"/>
  <c r="K29" s="1"/>
  <c r="L29" s="1"/>
  <c r="J25"/>
  <c r="K25" s="1"/>
  <c r="L25" s="1"/>
  <c r="J34"/>
  <c r="K34" s="1"/>
  <c r="L34" s="1"/>
</calcChain>
</file>

<file path=xl/sharedStrings.xml><?xml version="1.0" encoding="utf-8"?>
<sst xmlns="http://schemas.openxmlformats.org/spreadsheetml/2006/main" count="144" uniqueCount="59">
  <si>
    <t>Правила расчета скидки</t>
  </si>
  <si>
    <t>Скидка</t>
  </si>
  <si>
    <t>ед. изм.</t>
  </si>
  <si>
    <t>% от суммы акционных товаров</t>
  </si>
  <si>
    <t xml:space="preserve">рублей за наклейку но не более суммы </t>
  </si>
  <si>
    <t>Наклейки Gold и сумма за акционные товары&gt;=6000</t>
  </si>
  <si>
    <t>Наклейки Gold и сумма за акционные товары от 3000 до 6000 и наклеек gold &gt;2</t>
  </si>
  <si>
    <t>Наклейки Gold и сумма за акционные товары&lt;3000</t>
  </si>
  <si>
    <t>Наклейки silver и сумма за акционные товары &gt;=5000</t>
  </si>
  <si>
    <t>Наклейки silver и сумма за акционные товары &lt;5000</t>
  </si>
  <si>
    <t>№</t>
  </si>
  <si>
    <t>Суммарная скидка, руб</t>
  </si>
  <si>
    <t>Итоговая сумма, руб</t>
  </si>
  <si>
    <t>Петров</t>
  </si>
  <si>
    <t>Сидоров</t>
  </si>
  <si>
    <t>Дементьев</t>
  </si>
  <si>
    <t>Добрынина</t>
  </si>
  <si>
    <t>Зыкин</t>
  </si>
  <si>
    <t>Толкаенко</t>
  </si>
  <si>
    <t>Павлов</t>
  </si>
  <si>
    <t>Гришин</t>
  </si>
  <si>
    <t>Прохина</t>
  </si>
  <si>
    <t>Щепкина</t>
  </si>
  <si>
    <t>Cуммы покупки руб</t>
  </si>
  <si>
    <t>Клиент</t>
  </si>
  <si>
    <t>В том числе сумма за акционные товары? руб</t>
  </si>
  <si>
    <t>Сумма за неакционные товары, руб</t>
  </si>
  <si>
    <t>Наклейки Gold, шт</t>
  </si>
  <si>
    <t>Наклейки silver, шт</t>
  </si>
  <si>
    <t>Скидка по наклейкам Gold, шт</t>
  </si>
  <si>
    <t>Скидка по наклейкам silver, шт</t>
  </si>
  <si>
    <t>Наклейки новой акции , шт</t>
  </si>
  <si>
    <t>Итог:</t>
  </si>
  <si>
    <t>Москва-Екатеринбург</t>
  </si>
  <si>
    <t>Исходные данные</t>
  </si>
  <si>
    <t>расстояние</t>
  </si>
  <si>
    <t>расход бензина на 100 км</t>
  </si>
  <si>
    <t xml:space="preserve">цена бензина </t>
  </si>
  <si>
    <t>кол-во пассажиров</t>
  </si>
  <si>
    <t xml:space="preserve">цена билета в купе ржд </t>
  </si>
  <si>
    <t>разность авто и ж/д</t>
  </si>
  <si>
    <t>км</t>
  </si>
  <si>
    <t>л</t>
  </si>
  <si>
    <t>р</t>
  </si>
  <si>
    <t>чел</t>
  </si>
  <si>
    <t>р/чел</t>
  </si>
  <si>
    <t>Подбор цены билета</t>
  </si>
  <si>
    <t>Подбор количества пассажиров</t>
  </si>
  <si>
    <t>Подбор цены бензина</t>
  </si>
  <si>
    <t>Москва-Минск</t>
  </si>
  <si>
    <t>Расстояние</t>
  </si>
  <si>
    <t>Расход бензина на 100 км</t>
  </si>
  <si>
    <t>цена билета в купе ржд</t>
  </si>
  <si>
    <t>x</t>
  </si>
  <si>
    <t>y</t>
  </si>
  <si>
    <t>z</t>
  </si>
  <si>
    <t>y-z</t>
  </si>
  <si>
    <t>y пересекает Ох в х=0</t>
  </si>
  <si>
    <t>y пересекает z в х=3.58 и х=-3.58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</si>
</sst>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2"/>
      <color theme="1"/>
      <name val="Symbol"/>
      <family val="1"/>
      <charset val="2"/>
    </font>
    <font>
      <sz val="11"/>
      <color theme="0"/>
      <name val="Calibri"/>
      <family val="2"/>
      <charset val="204"/>
      <scheme val="minor"/>
    </font>
    <font>
      <b/>
      <sz val="12"/>
      <color indexed="12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9" tint="0.39997558519241921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5" fillId="3" borderId="0" applyNumberFormat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  <xf numFmtId="0" fontId="1" fillId="0" borderId="1" xfId="0" applyFont="1" applyBorder="1" applyAlignment="1">
      <alignment vertical="top" wrapText="1"/>
    </xf>
    <xf numFmtId="1" fontId="0" fillId="0" borderId="1" xfId="0" applyNumberFormat="1" applyBorder="1"/>
    <xf numFmtId="0" fontId="0" fillId="0" borderId="1" xfId="0" applyFill="1" applyBorder="1" applyAlignment="1">
      <alignment wrapText="1"/>
    </xf>
    <xf numFmtId="0" fontId="0" fillId="0" borderId="1" xfId="0" applyFill="1" applyBorder="1"/>
    <xf numFmtId="0" fontId="4" fillId="0" borderId="0" xfId="0" applyFont="1" applyAlignment="1">
      <alignment horizontal="justify"/>
    </xf>
    <xf numFmtId="0" fontId="3" fillId="0" borderId="0" xfId="0" applyFont="1"/>
    <xf numFmtId="0" fontId="2" fillId="2" borderId="1" xfId="1" applyBorder="1"/>
    <xf numFmtId="2" fontId="0" fillId="0" borderId="1" xfId="0" applyNumberFormat="1" applyBorder="1"/>
    <xf numFmtId="0" fontId="0" fillId="0" borderId="2" xfId="0" applyFill="1" applyBorder="1"/>
    <xf numFmtId="0" fontId="0" fillId="0" borderId="0" xfId="0" applyBorder="1"/>
    <xf numFmtId="0" fontId="5" fillId="3" borderId="1" xfId="2" applyBorder="1"/>
    <xf numFmtId="0" fontId="5" fillId="3" borderId="0" xfId="2"/>
  </cellXfs>
  <cellStyles count="3">
    <cellStyle name="60% - Акцент6" xfId="2" builtinId="52"/>
    <cellStyle name="Обычный" xfId="0" builtinId="0"/>
    <cellStyle name="Хороший" xfId="1" builtinId="2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3*</a:t>
            </a:r>
            <a:r>
              <a:rPr lang="en-US"/>
              <a:t>x^2-2*x^3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график!$B$1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cat>
            <c:numRef>
              <c:f>график!$A$2:$A$22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график!$B$2:$B$22</c:f>
              <c:numCache>
                <c:formatCode>General</c:formatCode>
                <c:ptCount val="21"/>
                <c:pt idx="0">
                  <c:v>100</c:v>
                </c:pt>
                <c:pt idx="1">
                  <c:v>81</c:v>
                </c:pt>
                <c:pt idx="2">
                  <c:v>64</c:v>
                </c:pt>
                <c:pt idx="3">
                  <c:v>49</c:v>
                </c:pt>
                <c:pt idx="4">
                  <c:v>36</c:v>
                </c:pt>
                <c:pt idx="5">
                  <c:v>25</c:v>
                </c:pt>
                <c:pt idx="6">
                  <c:v>16</c:v>
                </c:pt>
                <c:pt idx="7">
                  <c:v>9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9</c:v>
                </c:pt>
                <c:pt idx="14">
                  <c:v>16</c:v>
                </c:pt>
                <c:pt idx="15">
                  <c:v>25</c:v>
                </c:pt>
                <c:pt idx="16">
                  <c:v>36</c:v>
                </c:pt>
                <c:pt idx="17">
                  <c:v>49</c:v>
                </c:pt>
                <c:pt idx="18">
                  <c:v>64</c:v>
                </c:pt>
                <c:pt idx="19">
                  <c:v>81</c:v>
                </c:pt>
                <c:pt idx="20">
                  <c:v>100</c:v>
                </c:pt>
              </c:numCache>
            </c:numRef>
          </c:val>
        </c:ser>
        <c:marker val="1"/>
        <c:axId val="118298112"/>
        <c:axId val="118299648"/>
      </c:lineChart>
      <c:catAx>
        <c:axId val="118298112"/>
        <c:scaling>
          <c:orientation val="minMax"/>
        </c:scaling>
        <c:axPos val="b"/>
        <c:numFmt formatCode="General" sourceLinked="1"/>
        <c:tickLblPos val="nextTo"/>
        <c:crossAx val="118299648"/>
        <c:crosses val="autoZero"/>
        <c:auto val="1"/>
        <c:lblAlgn val="ctr"/>
        <c:lblOffset val="100"/>
      </c:catAx>
      <c:valAx>
        <c:axId val="118299648"/>
        <c:scaling>
          <c:orientation val="minMax"/>
        </c:scaling>
        <c:axPos val="l"/>
        <c:majorGridlines/>
        <c:numFmt formatCode="General" sourceLinked="1"/>
        <c:tickLblPos val="nextTo"/>
        <c:crossAx val="1182981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en-US"/>
              <a:t>y=</a:t>
            </a:r>
            <a:r>
              <a:rPr lang="ru-RU"/>
              <a:t>3*</a:t>
            </a:r>
            <a:r>
              <a:rPr lang="en-US"/>
              <a:t>x^2-2*x^3, z=40*x^2-500</a:t>
            </a:r>
          </a:p>
        </c:rich>
      </c:tx>
      <c:layout>
        <c:manualLayout>
          <c:xMode val="edge"/>
          <c:yMode val="edge"/>
          <c:x val="0.18445822397200351"/>
          <c:y val="2.5236593059936908E-2"/>
        </c:manualLayout>
      </c:layout>
    </c:title>
    <c:plotArea>
      <c:layout/>
      <c:lineChart>
        <c:grouping val="standard"/>
        <c:ser>
          <c:idx val="1"/>
          <c:order val="1"/>
          <c:marker>
            <c:symbol val="none"/>
          </c:marker>
          <c:val>
            <c:numRef>
              <c:f>график!$B$2:$B$22</c:f>
              <c:numCache>
                <c:formatCode>General</c:formatCode>
                <c:ptCount val="21"/>
                <c:pt idx="0">
                  <c:v>100</c:v>
                </c:pt>
                <c:pt idx="1">
                  <c:v>81</c:v>
                </c:pt>
                <c:pt idx="2">
                  <c:v>64</c:v>
                </c:pt>
                <c:pt idx="3">
                  <c:v>49</c:v>
                </c:pt>
                <c:pt idx="4">
                  <c:v>36</c:v>
                </c:pt>
                <c:pt idx="5">
                  <c:v>25</c:v>
                </c:pt>
                <c:pt idx="6">
                  <c:v>16</c:v>
                </c:pt>
                <c:pt idx="7">
                  <c:v>9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9</c:v>
                </c:pt>
                <c:pt idx="14">
                  <c:v>16</c:v>
                </c:pt>
                <c:pt idx="15">
                  <c:v>25</c:v>
                </c:pt>
                <c:pt idx="16">
                  <c:v>36</c:v>
                </c:pt>
                <c:pt idx="17">
                  <c:v>49</c:v>
                </c:pt>
                <c:pt idx="18">
                  <c:v>64</c:v>
                </c:pt>
                <c:pt idx="19">
                  <c:v>81</c:v>
                </c:pt>
                <c:pt idx="20">
                  <c:v>100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график!$G$2:$G$22</c:f>
              <c:numCache>
                <c:formatCode>General</c:formatCode>
                <c:ptCount val="21"/>
                <c:pt idx="0">
                  <c:v>3500</c:v>
                </c:pt>
                <c:pt idx="1">
                  <c:v>2740</c:v>
                </c:pt>
                <c:pt idx="2">
                  <c:v>2060</c:v>
                </c:pt>
                <c:pt idx="3">
                  <c:v>1460</c:v>
                </c:pt>
                <c:pt idx="4">
                  <c:v>940</c:v>
                </c:pt>
                <c:pt idx="5">
                  <c:v>500</c:v>
                </c:pt>
                <c:pt idx="6">
                  <c:v>140</c:v>
                </c:pt>
                <c:pt idx="7">
                  <c:v>-140</c:v>
                </c:pt>
                <c:pt idx="8">
                  <c:v>-340</c:v>
                </c:pt>
                <c:pt idx="9">
                  <c:v>-460</c:v>
                </c:pt>
                <c:pt idx="10">
                  <c:v>-500</c:v>
                </c:pt>
                <c:pt idx="11">
                  <c:v>-460</c:v>
                </c:pt>
                <c:pt idx="12">
                  <c:v>-340</c:v>
                </c:pt>
                <c:pt idx="13">
                  <c:v>-140</c:v>
                </c:pt>
                <c:pt idx="14">
                  <c:v>140</c:v>
                </c:pt>
                <c:pt idx="15">
                  <c:v>500</c:v>
                </c:pt>
                <c:pt idx="16">
                  <c:v>940</c:v>
                </c:pt>
                <c:pt idx="17">
                  <c:v>1460</c:v>
                </c:pt>
                <c:pt idx="18">
                  <c:v>2060</c:v>
                </c:pt>
                <c:pt idx="19">
                  <c:v>2740</c:v>
                </c:pt>
                <c:pt idx="20">
                  <c:v>3500</c:v>
                </c:pt>
              </c:numCache>
            </c:numRef>
          </c:val>
        </c:ser>
        <c:ser>
          <c:idx val="0"/>
          <c:order val="0"/>
          <c:tx>
            <c:strRef>
              <c:f>график!$B$1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cat>
            <c:numRef>
              <c:f>график!$A$2:$A$22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график!$B$2:$B$22</c:f>
              <c:numCache>
                <c:formatCode>General</c:formatCode>
                <c:ptCount val="21"/>
                <c:pt idx="0">
                  <c:v>100</c:v>
                </c:pt>
                <c:pt idx="1">
                  <c:v>81</c:v>
                </c:pt>
                <c:pt idx="2">
                  <c:v>64</c:v>
                </c:pt>
                <c:pt idx="3">
                  <c:v>49</c:v>
                </c:pt>
                <c:pt idx="4">
                  <c:v>36</c:v>
                </c:pt>
                <c:pt idx="5">
                  <c:v>25</c:v>
                </c:pt>
                <c:pt idx="6">
                  <c:v>16</c:v>
                </c:pt>
                <c:pt idx="7">
                  <c:v>9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9</c:v>
                </c:pt>
                <c:pt idx="14">
                  <c:v>16</c:v>
                </c:pt>
                <c:pt idx="15">
                  <c:v>25</c:v>
                </c:pt>
                <c:pt idx="16">
                  <c:v>36</c:v>
                </c:pt>
                <c:pt idx="17">
                  <c:v>49</c:v>
                </c:pt>
                <c:pt idx="18">
                  <c:v>64</c:v>
                </c:pt>
                <c:pt idx="19">
                  <c:v>81</c:v>
                </c:pt>
                <c:pt idx="20">
                  <c:v>100</c:v>
                </c:pt>
              </c:numCache>
            </c:numRef>
          </c:val>
        </c:ser>
        <c:marker val="1"/>
        <c:axId val="118335360"/>
        <c:axId val="118336896"/>
      </c:lineChart>
      <c:catAx>
        <c:axId val="118335360"/>
        <c:scaling>
          <c:orientation val="minMax"/>
        </c:scaling>
        <c:axPos val="b"/>
        <c:numFmt formatCode="General" sourceLinked="1"/>
        <c:tickLblPos val="nextTo"/>
        <c:crossAx val="118336896"/>
        <c:crosses val="autoZero"/>
        <c:auto val="1"/>
        <c:lblAlgn val="ctr"/>
        <c:lblOffset val="100"/>
      </c:catAx>
      <c:valAx>
        <c:axId val="118336896"/>
        <c:scaling>
          <c:orientation val="minMax"/>
        </c:scaling>
        <c:axPos val="l"/>
        <c:majorGridlines/>
        <c:numFmt formatCode="General" sourceLinked="1"/>
        <c:tickLblPos val="nextTo"/>
        <c:crossAx val="1183353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22</xdr:row>
      <xdr:rowOff>161925</xdr:rowOff>
    </xdr:from>
    <xdr:to>
      <xdr:col>7</xdr:col>
      <xdr:colOff>447675</xdr:colOff>
      <xdr:row>37</xdr:row>
      <xdr:rowOff>47625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485775</xdr:colOff>
      <xdr:row>5</xdr:row>
      <xdr:rowOff>57150</xdr:rowOff>
    </xdr:from>
    <xdr:to>
      <xdr:col>21</xdr:col>
      <xdr:colOff>180975</xdr:colOff>
      <xdr:row>21</xdr:row>
      <xdr:rowOff>28575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17</xdr:col>
      <xdr:colOff>304800</xdr:colOff>
      <xdr:row>15</xdr:row>
      <xdr:rowOff>161925</xdr:rowOff>
    </xdr:from>
    <xdr:ext cx="908903" cy="264560"/>
    <xdr:sp macro="" textlink="">
      <xdr:nvSpPr>
        <xdr:cNvPr id="4" name="TextBox 3"/>
        <xdr:cNvSpPr txBox="1"/>
      </xdr:nvSpPr>
      <xdr:spPr>
        <a:xfrm>
          <a:off x="10668000" y="3019425"/>
          <a:ext cx="9089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ru-RU" sz="1100"/>
            <a:t>(3.58,</a:t>
          </a:r>
          <a:r>
            <a:rPr lang="ru-RU" sz="1100" baseline="0"/>
            <a:t> 12.82)</a:t>
          </a:r>
          <a:endParaRPr lang="ru-RU" sz="1100"/>
        </a:p>
      </xdr:txBody>
    </xdr:sp>
    <xdr:clientData/>
  </xdr:oneCellAnchor>
  <xdr:oneCellAnchor>
    <xdr:from>
      <xdr:col>15</xdr:col>
      <xdr:colOff>228600</xdr:colOff>
      <xdr:row>16</xdr:row>
      <xdr:rowOff>19050</xdr:rowOff>
    </xdr:from>
    <xdr:ext cx="952120" cy="264560"/>
    <xdr:sp macro="" textlink="">
      <xdr:nvSpPr>
        <xdr:cNvPr id="6" name="TextBox 5"/>
        <xdr:cNvSpPr txBox="1"/>
      </xdr:nvSpPr>
      <xdr:spPr>
        <a:xfrm>
          <a:off x="9372600" y="3067050"/>
          <a:ext cx="95212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ru-RU" sz="1100"/>
            <a:t>(-3.58, 12.</a:t>
          </a:r>
          <a:r>
            <a:rPr lang="ru-RU" sz="1100" baseline="0"/>
            <a:t>82)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0.35</cdr:x>
      <cdr:y>0.58681</cdr:y>
    </cdr:from>
    <cdr:to>
      <cdr:x>0.55</cdr:x>
      <cdr:y>0.92014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600200" y="16097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0.42083</cdr:x>
      <cdr:y>0.75694</cdr:y>
    </cdr:from>
    <cdr:to>
      <cdr:x>0.51667</cdr:x>
      <cdr:y>0.85764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924050" y="2076450"/>
          <a:ext cx="4381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(0;</a:t>
          </a:r>
          <a:r>
            <a:rPr lang="en-US" sz="1100" baseline="0"/>
            <a:t> 0)</a:t>
          </a:r>
          <a:endParaRPr lang="ru-RU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0.35</cdr:x>
      <cdr:y>0.58681</cdr:y>
    </cdr:from>
    <cdr:to>
      <cdr:x>0.55</cdr:x>
      <cdr:y>0.92014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600200" y="16097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L34"/>
  <sheetViews>
    <sheetView workbookViewId="0">
      <selection activeCell="I5" sqref="I5"/>
    </sheetView>
  </sheetViews>
  <sheetFormatPr defaultRowHeight="15"/>
  <cols>
    <col min="1" max="1" width="3.42578125" customWidth="1"/>
    <col min="2" max="2" width="26.140625" customWidth="1"/>
    <col min="3" max="3" width="8.7109375" customWidth="1"/>
    <col min="4" max="4" width="23" customWidth="1"/>
    <col min="5" max="5" width="15.85546875" customWidth="1"/>
    <col min="6" max="6" width="12.42578125" customWidth="1"/>
    <col min="8" max="8" width="12" customWidth="1"/>
    <col min="9" max="9" width="12.85546875" customWidth="1"/>
    <col min="10" max="10" width="10.85546875" customWidth="1"/>
    <col min="12" max="12" width="11.28515625" customWidth="1"/>
  </cols>
  <sheetData>
    <row r="1" spans="1:12">
      <c r="B1" s="1" t="s">
        <v>0</v>
      </c>
      <c r="C1" s="1" t="s">
        <v>1</v>
      </c>
      <c r="D1" s="1" t="s">
        <v>2</v>
      </c>
    </row>
    <row r="2" spans="1:12" ht="35.25" customHeight="1">
      <c r="B2" s="2" t="s">
        <v>5</v>
      </c>
      <c r="C2" s="1">
        <v>50</v>
      </c>
      <c r="D2" s="2" t="s">
        <v>3</v>
      </c>
    </row>
    <row r="3" spans="1:12" ht="42" customHeight="1">
      <c r="B3" s="2" t="s">
        <v>6</v>
      </c>
      <c r="C3" s="1">
        <v>30</v>
      </c>
      <c r="D3" s="2" t="s">
        <v>3</v>
      </c>
    </row>
    <row r="4" spans="1:12" ht="57" customHeight="1">
      <c r="B4" s="2" t="s">
        <v>6</v>
      </c>
      <c r="C4" s="1">
        <v>20</v>
      </c>
      <c r="D4" s="2" t="s">
        <v>3</v>
      </c>
    </row>
    <row r="5" spans="1:12" ht="36" customHeight="1">
      <c r="B5" s="2" t="s">
        <v>7</v>
      </c>
      <c r="C5" s="1">
        <v>5</v>
      </c>
      <c r="D5" s="2" t="s">
        <v>3</v>
      </c>
    </row>
    <row r="6" spans="1:12" ht="39.75" customHeight="1">
      <c r="B6" s="2" t="s">
        <v>8</v>
      </c>
      <c r="C6" s="1">
        <v>300</v>
      </c>
      <c r="D6" s="2" t="s">
        <v>4</v>
      </c>
    </row>
    <row r="7" spans="1:12" ht="43.5" customHeight="1">
      <c r="B7" s="2" t="s">
        <v>9</v>
      </c>
      <c r="C7" s="1">
        <v>100</v>
      </c>
      <c r="D7" s="2" t="s">
        <v>4</v>
      </c>
      <c r="E7">
        <f>SUM(J11:J20)</f>
        <v>7850</v>
      </c>
    </row>
    <row r="10" spans="1:12" ht="51" customHeight="1">
      <c r="A10" s="2" t="s">
        <v>10</v>
      </c>
      <c r="B10" s="3" t="s">
        <v>24</v>
      </c>
      <c r="C10" s="3" t="s">
        <v>23</v>
      </c>
      <c r="D10" s="3" t="s">
        <v>25</v>
      </c>
      <c r="E10" s="3" t="s">
        <v>26</v>
      </c>
      <c r="F10" s="3" t="s">
        <v>27</v>
      </c>
      <c r="G10" s="3" t="s">
        <v>28</v>
      </c>
      <c r="H10" s="3" t="s">
        <v>29</v>
      </c>
      <c r="I10" s="3" t="s">
        <v>30</v>
      </c>
      <c r="J10" s="3" t="s">
        <v>11</v>
      </c>
      <c r="K10" s="3" t="s">
        <v>12</v>
      </c>
      <c r="L10" s="3" t="s">
        <v>31</v>
      </c>
    </row>
    <row r="11" spans="1:12">
      <c r="A11" s="1">
        <v>1</v>
      </c>
      <c r="B11" s="2" t="s">
        <v>13</v>
      </c>
      <c r="C11" s="1">
        <v>3500</v>
      </c>
      <c r="D11" s="1">
        <v>0</v>
      </c>
      <c r="E11" s="1">
        <f>C11-D11</f>
        <v>3500</v>
      </c>
      <c r="F11" s="1">
        <v>1</v>
      </c>
      <c r="G11" s="1">
        <v>0</v>
      </c>
      <c r="H11" s="1">
        <f>IF(D11&gt;=6000, D11/2, IF(AND(D11&lt;6000, D11&gt;=3000,  F11&gt;2),  D11*3/10, IF(AND(D11&lt;6000, D11&gt;=3000, OR(F11=2, F11 = 1)), D11*2/10, 0)))</f>
        <v>0</v>
      </c>
      <c r="I11" s="1">
        <f>IF(E11&gt;=5000, IF(300*G11&lt;=E11, 300*G11, E11 ),  IF(E11&lt;5000, IF(100*G11&lt;=E11, 100*G11, E11 )))</f>
        <v>0</v>
      </c>
      <c r="J11" s="1">
        <f>H11+I11</f>
        <v>0</v>
      </c>
      <c r="K11" s="1">
        <f>C11-J11</f>
        <v>3500</v>
      </c>
      <c r="L11" s="4">
        <f>FLOOR(K11/500,1)</f>
        <v>7</v>
      </c>
    </row>
    <row r="12" spans="1:12">
      <c r="A12" s="1">
        <v>2</v>
      </c>
      <c r="B12" s="2" t="s">
        <v>14</v>
      </c>
      <c r="C12" s="1">
        <v>11000</v>
      </c>
      <c r="D12" s="1">
        <v>6300</v>
      </c>
      <c r="E12" s="1">
        <f t="shared" ref="E12:E20" si="0">C12-D12</f>
        <v>4700</v>
      </c>
      <c r="F12" s="1">
        <v>3</v>
      </c>
      <c r="G12" s="1">
        <v>9</v>
      </c>
      <c r="H12" s="1">
        <f t="shared" ref="H12:H20" si="1">IF(D12&gt;=6000, D12/2, IF(AND(D12&lt;6000, D12&gt;=3000,  F12&gt;2),  D12*3/10, IF(AND(D12&lt;6000, D12&gt;=3000, OR(F12=2, F12 = 1)), D12*2/10, 0)))</f>
        <v>3150</v>
      </c>
      <c r="I12" s="1">
        <f t="shared" ref="I12:I20" si="2">IF(E12&gt;=5000, IF(300*G12&lt;=E12, 300*G12, E12 ),  IF(E12&lt;5000, IF(100*G12&lt;=E12, 100*G12, E12 )))</f>
        <v>900</v>
      </c>
      <c r="J12" s="1">
        <f t="shared" ref="J12:J20" si="3">H12+I12</f>
        <v>4050</v>
      </c>
      <c r="K12" s="1">
        <f t="shared" ref="K12:K20" si="4">C12-J12</f>
        <v>6950</v>
      </c>
      <c r="L12" s="4">
        <f t="shared" ref="L12:L20" si="5">FLOOR(K12/500,1)</f>
        <v>13</v>
      </c>
    </row>
    <row r="13" spans="1:12">
      <c r="A13" s="1">
        <v>3</v>
      </c>
      <c r="B13" s="2" t="s">
        <v>15</v>
      </c>
      <c r="C13" s="1">
        <v>10350</v>
      </c>
      <c r="D13" s="1">
        <v>520</v>
      </c>
      <c r="E13" s="1">
        <f t="shared" si="0"/>
        <v>9830</v>
      </c>
      <c r="F13" s="1">
        <v>0</v>
      </c>
      <c r="G13" s="1">
        <v>3</v>
      </c>
      <c r="H13" s="1">
        <f t="shared" si="1"/>
        <v>0</v>
      </c>
      <c r="I13" s="1">
        <f t="shared" si="2"/>
        <v>900</v>
      </c>
      <c r="J13" s="1">
        <f t="shared" si="3"/>
        <v>900</v>
      </c>
      <c r="K13" s="1">
        <f t="shared" si="4"/>
        <v>9450</v>
      </c>
      <c r="L13" s="4">
        <f t="shared" si="5"/>
        <v>18</v>
      </c>
    </row>
    <row r="14" spans="1:12">
      <c r="A14" s="1">
        <v>4</v>
      </c>
      <c r="B14" s="2" t="s">
        <v>16</v>
      </c>
      <c r="C14" s="1">
        <v>7500</v>
      </c>
      <c r="D14" s="1">
        <v>0</v>
      </c>
      <c r="E14" s="1">
        <f t="shared" si="0"/>
        <v>7500</v>
      </c>
      <c r="F14" s="1">
        <v>0</v>
      </c>
      <c r="G14" s="1">
        <v>5</v>
      </c>
      <c r="H14" s="1">
        <f t="shared" si="1"/>
        <v>0</v>
      </c>
      <c r="I14" s="1">
        <f t="shared" si="2"/>
        <v>1500</v>
      </c>
      <c r="J14" s="1">
        <f t="shared" si="3"/>
        <v>1500</v>
      </c>
      <c r="K14" s="1">
        <f t="shared" si="4"/>
        <v>6000</v>
      </c>
      <c r="L14" s="4">
        <f t="shared" si="5"/>
        <v>12</v>
      </c>
    </row>
    <row r="15" spans="1:12">
      <c r="A15" s="1">
        <v>5</v>
      </c>
      <c r="B15" s="2" t="s">
        <v>17</v>
      </c>
      <c r="C15" s="1">
        <v>590</v>
      </c>
      <c r="D15" s="1">
        <v>590</v>
      </c>
      <c r="E15" s="1">
        <f t="shared" si="0"/>
        <v>0</v>
      </c>
      <c r="F15" s="1">
        <v>0</v>
      </c>
      <c r="G15" s="1">
        <v>3</v>
      </c>
      <c r="H15" s="1">
        <f t="shared" si="1"/>
        <v>0</v>
      </c>
      <c r="I15" s="1">
        <f t="shared" si="2"/>
        <v>0</v>
      </c>
      <c r="J15" s="1">
        <f t="shared" si="3"/>
        <v>0</v>
      </c>
      <c r="K15" s="1">
        <f t="shared" si="4"/>
        <v>590</v>
      </c>
      <c r="L15" s="4">
        <f t="shared" si="5"/>
        <v>1</v>
      </c>
    </row>
    <row r="16" spans="1:12">
      <c r="A16" s="1">
        <v>6</v>
      </c>
      <c r="B16" s="2" t="s">
        <v>18</v>
      </c>
      <c r="C16" s="1">
        <v>3020</v>
      </c>
      <c r="D16" s="1">
        <v>1020</v>
      </c>
      <c r="E16" s="1">
        <f t="shared" si="0"/>
        <v>2000</v>
      </c>
      <c r="F16" s="1">
        <v>5</v>
      </c>
      <c r="G16" s="1">
        <v>1</v>
      </c>
      <c r="H16" s="1">
        <f t="shared" si="1"/>
        <v>0</v>
      </c>
      <c r="I16" s="1">
        <f t="shared" si="2"/>
        <v>100</v>
      </c>
      <c r="J16" s="1">
        <f t="shared" si="3"/>
        <v>100</v>
      </c>
      <c r="K16" s="1">
        <f t="shared" si="4"/>
        <v>2920</v>
      </c>
      <c r="L16" s="4">
        <f t="shared" si="5"/>
        <v>5</v>
      </c>
    </row>
    <row r="17" spans="1:12">
      <c r="A17" s="1">
        <v>7</v>
      </c>
      <c r="B17" s="2" t="s">
        <v>19</v>
      </c>
      <c r="C17" s="1">
        <v>1700</v>
      </c>
      <c r="D17" s="1">
        <v>300</v>
      </c>
      <c r="E17" s="1">
        <f t="shared" si="0"/>
        <v>1400</v>
      </c>
      <c r="F17" s="1">
        <v>2</v>
      </c>
      <c r="G17" s="1">
        <v>0</v>
      </c>
      <c r="H17" s="1">
        <f t="shared" si="1"/>
        <v>0</v>
      </c>
      <c r="I17" s="1">
        <f t="shared" si="2"/>
        <v>0</v>
      </c>
      <c r="J17" s="1">
        <f t="shared" si="3"/>
        <v>0</v>
      </c>
      <c r="K17" s="1">
        <f t="shared" si="4"/>
        <v>1700</v>
      </c>
      <c r="L17" s="4">
        <f t="shared" si="5"/>
        <v>3</v>
      </c>
    </row>
    <row r="18" spans="1:12">
      <c r="A18" s="1">
        <v>8</v>
      </c>
      <c r="B18" s="2" t="s">
        <v>20</v>
      </c>
      <c r="C18" s="1">
        <v>10600</v>
      </c>
      <c r="D18" s="1">
        <v>2500</v>
      </c>
      <c r="E18" s="1">
        <f t="shared" si="0"/>
        <v>8100</v>
      </c>
      <c r="F18" s="1">
        <v>3</v>
      </c>
      <c r="G18" s="1">
        <v>2</v>
      </c>
      <c r="H18" s="1">
        <f t="shared" si="1"/>
        <v>0</v>
      </c>
      <c r="I18" s="1">
        <f t="shared" si="2"/>
        <v>600</v>
      </c>
      <c r="J18" s="1">
        <f t="shared" si="3"/>
        <v>600</v>
      </c>
      <c r="K18" s="1">
        <f t="shared" si="4"/>
        <v>10000</v>
      </c>
      <c r="L18" s="4">
        <f t="shared" si="5"/>
        <v>20</v>
      </c>
    </row>
    <row r="19" spans="1:12">
      <c r="A19" s="1">
        <v>9</v>
      </c>
      <c r="B19" s="2" t="s">
        <v>21</v>
      </c>
      <c r="C19" s="1">
        <v>400</v>
      </c>
      <c r="D19" s="1">
        <v>0</v>
      </c>
      <c r="E19" s="1">
        <f t="shared" si="0"/>
        <v>400</v>
      </c>
      <c r="F19" s="1">
        <v>0</v>
      </c>
      <c r="G19" s="1">
        <v>10</v>
      </c>
      <c r="H19" s="1">
        <f t="shared" si="1"/>
        <v>0</v>
      </c>
      <c r="I19" s="1">
        <f t="shared" si="2"/>
        <v>400</v>
      </c>
      <c r="J19" s="1">
        <f t="shared" si="3"/>
        <v>400</v>
      </c>
      <c r="K19" s="1">
        <f t="shared" si="4"/>
        <v>0</v>
      </c>
      <c r="L19" s="4">
        <f t="shared" si="5"/>
        <v>0</v>
      </c>
    </row>
    <row r="20" spans="1:12">
      <c r="A20" s="1">
        <v>10</v>
      </c>
      <c r="B20" s="2" t="s">
        <v>22</v>
      </c>
      <c r="C20" s="1">
        <v>6740</v>
      </c>
      <c r="D20" s="1">
        <v>740</v>
      </c>
      <c r="E20" s="1">
        <f t="shared" si="0"/>
        <v>6000</v>
      </c>
      <c r="F20" s="1">
        <v>2</v>
      </c>
      <c r="G20" s="1">
        <v>1</v>
      </c>
      <c r="H20" s="1">
        <f t="shared" si="1"/>
        <v>0</v>
      </c>
      <c r="I20" s="1">
        <f t="shared" si="2"/>
        <v>300</v>
      </c>
      <c r="J20" s="1">
        <f t="shared" si="3"/>
        <v>300</v>
      </c>
      <c r="K20" s="1">
        <f t="shared" si="4"/>
        <v>6440</v>
      </c>
      <c r="L20" s="4">
        <f t="shared" si="5"/>
        <v>12</v>
      </c>
    </row>
    <row r="22" spans="1:12">
      <c r="A22" s="1"/>
      <c r="B22" s="5" t="s">
        <v>32</v>
      </c>
      <c r="C22" s="6">
        <f t="shared" ref="C22:L22" si="6">SUM(C11:C20)</f>
        <v>55400</v>
      </c>
      <c r="D22" s="6">
        <f t="shared" si="6"/>
        <v>11970</v>
      </c>
      <c r="E22" s="6">
        <f t="shared" si="6"/>
        <v>43430</v>
      </c>
      <c r="F22" s="6">
        <f t="shared" si="6"/>
        <v>16</v>
      </c>
      <c r="G22" s="6">
        <f t="shared" si="6"/>
        <v>34</v>
      </c>
      <c r="H22" s="6">
        <f t="shared" si="6"/>
        <v>3150</v>
      </c>
      <c r="I22" s="6">
        <f t="shared" si="6"/>
        <v>4700</v>
      </c>
      <c r="J22" s="6">
        <f t="shared" si="6"/>
        <v>7850</v>
      </c>
      <c r="K22" s="6">
        <f t="shared" si="6"/>
        <v>47550</v>
      </c>
      <c r="L22" s="6">
        <f t="shared" si="6"/>
        <v>91</v>
      </c>
    </row>
    <row r="25" spans="1:12">
      <c r="C25" s="1">
        <v>7500</v>
      </c>
      <c r="D25" s="1">
        <v>0</v>
      </c>
      <c r="E25" s="1">
        <f t="shared" ref="E25:E34" si="7">C25-D25</f>
        <v>7500</v>
      </c>
      <c r="F25" s="1">
        <v>0</v>
      </c>
      <c r="G25" s="1">
        <v>5</v>
      </c>
      <c r="H25" s="1">
        <f t="shared" ref="H25:H34" si="8">IF(D25&gt;=6000, D25/2, IF(AND(D25&lt;6000, D25&gt;=3000,  F25&gt;2),  D25*3/10, IF(AND(D25&lt;6000, D25&gt;=3000, OR(F25=2, F25 = 1)), D25*2/10, 0)))</f>
        <v>0</v>
      </c>
      <c r="I25" s="1">
        <f t="shared" ref="I25:I34" si="9">IF(E25&gt;=5000, IF(300*G25&lt;=E25, 300*G25, E25 ),  IF(E25&lt;5000, IF(100*G25&lt;=E25, 100*G25, E25 )))</f>
        <v>1500</v>
      </c>
      <c r="J25" s="1">
        <f t="shared" ref="J25:J34" si="10">H25+I25</f>
        <v>1500</v>
      </c>
      <c r="K25" s="1">
        <f t="shared" ref="K25:K34" si="11">C25-J25</f>
        <v>6000</v>
      </c>
      <c r="L25" s="4">
        <f t="shared" ref="L25:L34" si="12">FLOOR(K25/500,1)</f>
        <v>12</v>
      </c>
    </row>
    <row r="26" spans="1:12">
      <c r="C26" s="1">
        <v>11000</v>
      </c>
      <c r="D26" s="1">
        <v>6300</v>
      </c>
      <c r="E26" s="1">
        <f t="shared" si="7"/>
        <v>4700</v>
      </c>
      <c r="F26" s="1">
        <v>3</v>
      </c>
      <c r="G26" s="1">
        <v>9</v>
      </c>
      <c r="H26" s="1">
        <f t="shared" si="8"/>
        <v>3150</v>
      </c>
      <c r="I26" s="1">
        <f t="shared" si="9"/>
        <v>900</v>
      </c>
      <c r="J26" s="1">
        <f t="shared" si="10"/>
        <v>4050</v>
      </c>
      <c r="K26" s="1">
        <f t="shared" si="11"/>
        <v>6950</v>
      </c>
      <c r="L26" s="4">
        <f t="shared" si="12"/>
        <v>13</v>
      </c>
    </row>
    <row r="27" spans="1:12">
      <c r="C27" s="1">
        <v>10350</v>
      </c>
      <c r="D27" s="1">
        <v>520</v>
      </c>
      <c r="E27" s="1">
        <f t="shared" si="7"/>
        <v>9830</v>
      </c>
      <c r="F27" s="1">
        <v>0</v>
      </c>
      <c r="G27" s="1">
        <v>3</v>
      </c>
      <c r="H27" s="1">
        <f t="shared" si="8"/>
        <v>0</v>
      </c>
      <c r="I27" s="1">
        <f t="shared" si="9"/>
        <v>900</v>
      </c>
      <c r="J27" s="1">
        <f t="shared" si="10"/>
        <v>900</v>
      </c>
      <c r="K27" s="1">
        <f t="shared" si="11"/>
        <v>9450</v>
      </c>
      <c r="L27" s="4">
        <f t="shared" si="12"/>
        <v>18</v>
      </c>
    </row>
    <row r="28" spans="1:12">
      <c r="C28" s="1">
        <v>10600</v>
      </c>
      <c r="D28" s="1">
        <v>2500</v>
      </c>
      <c r="E28" s="1">
        <f t="shared" si="7"/>
        <v>8100</v>
      </c>
      <c r="F28" s="1">
        <v>3</v>
      </c>
      <c r="G28" s="1">
        <v>2</v>
      </c>
      <c r="H28" s="1">
        <f t="shared" si="8"/>
        <v>0</v>
      </c>
      <c r="I28" s="1">
        <f t="shared" si="9"/>
        <v>600</v>
      </c>
      <c r="J28" s="1">
        <f t="shared" si="10"/>
        <v>600</v>
      </c>
      <c r="K28" s="1">
        <f t="shared" si="11"/>
        <v>10000</v>
      </c>
      <c r="L28" s="4">
        <f t="shared" si="12"/>
        <v>20</v>
      </c>
    </row>
    <row r="29" spans="1:12">
      <c r="C29" s="1">
        <v>400</v>
      </c>
      <c r="D29" s="1">
        <v>0</v>
      </c>
      <c r="E29" s="1">
        <f t="shared" si="7"/>
        <v>400</v>
      </c>
      <c r="F29" s="1">
        <v>0</v>
      </c>
      <c r="G29" s="1">
        <v>10</v>
      </c>
      <c r="H29" s="1">
        <f t="shared" si="8"/>
        <v>0</v>
      </c>
      <c r="I29" s="1">
        <f t="shared" si="9"/>
        <v>400</v>
      </c>
      <c r="J29" s="1">
        <f t="shared" si="10"/>
        <v>400</v>
      </c>
      <c r="K29" s="1">
        <f t="shared" si="11"/>
        <v>0</v>
      </c>
      <c r="L29" s="4">
        <f t="shared" si="12"/>
        <v>0</v>
      </c>
    </row>
    <row r="30" spans="1:12">
      <c r="C30" s="1">
        <v>6740</v>
      </c>
      <c r="D30" s="1">
        <v>740</v>
      </c>
      <c r="E30" s="1">
        <f t="shared" si="7"/>
        <v>6000</v>
      </c>
      <c r="F30" s="1">
        <v>2</v>
      </c>
      <c r="G30" s="1">
        <v>1</v>
      </c>
      <c r="H30" s="1">
        <f t="shared" si="8"/>
        <v>0</v>
      </c>
      <c r="I30" s="1">
        <f t="shared" si="9"/>
        <v>300</v>
      </c>
      <c r="J30" s="1">
        <f t="shared" si="10"/>
        <v>300</v>
      </c>
      <c r="K30" s="1">
        <f t="shared" si="11"/>
        <v>6440</v>
      </c>
      <c r="L30" s="4">
        <f t="shared" si="12"/>
        <v>12</v>
      </c>
    </row>
    <row r="31" spans="1:12">
      <c r="C31" s="1">
        <v>3020</v>
      </c>
      <c r="D31" s="1">
        <v>1020</v>
      </c>
      <c r="E31" s="1">
        <f t="shared" si="7"/>
        <v>2000</v>
      </c>
      <c r="F31" s="1">
        <v>5</v>
      </c>
      <c r="G31" s="1">
        <v>1</v>
      </c>
      <c r="H31" s="1">
        <f t="shared" si="8"/>
        <v>0</v>
      </c>
      <c r="I31" s="1">
        <f t="shared" si="9"/>
        <v>100</v>
      </c>
      <c r="J31" s="1">
        <f t="shared" si="10"/>
        <v>100</v>
      </c>
      <c r="K31" s="1">
        <f t="shared" si="11"/>
        <v>2920</v>
      </c>
      <c r="L31" s="4">
        <f t="shared" si="12"/>
        <v>5</v>
      </c>
    </row>
    <row r="32" spans="1:12">
      <c r="C32" s="1">
        <v>3500</v>
      </c>
      <c r="D32" s="1">
        <v>0</v>
      </c>
      <c r="E32" s="1">
        <f t="shared" si="7"/>
        <v>3500</v>
      </c>
      <c r="F32" s="1">
        <v>1</v>
      </c>
      <c r="G32" s="1">
        <v>0</v>
      </c>
      <c r="H32" s="1">
        <f t="shared" si="8"/>
        <v>0</v>
      </c>
      <c r="I32" s="1">
        <f t="shared" si="9"/>
        <v>0</v>
      </c>
      <c r="J32" s="1">
        <f t="shared" si="10"/>
        <v>0</v>
      </c>
      <c r="K32" s="1">
        <f t="shared" si="11"/>
        <v>3500</v>
      </c>
      <c r="L32" s="4">
        <f t="shared" si="12"/>
        <v>7</v>
      </c>
    </row>
    <row r="33" spans="3:12">
      <c r="C33" s="1">
        <v>590</v>
      </c>
      <c r="D33" s="1">
        <v>590</v>
      </c>
      <c r="E33" s="1">
        <f t="shared" si="7"/>
        <v>0</v>
      </c>
      <c r="F33" s="1">
        <v>0</v>
      </c>
      <c r="G33" s="1">
        <v>3</v>
      </c>
      <c r="H33" s="1">
        <f t="shared" si="8"/>
        <v>0</v>
      </c>
      <c r="I33" s="1">
        <f t="shared" si="9"/>
        <v>0</v>
      </c>
      <c r="J33" s="1">
        <f t="shared" si="10"/>
        <v>0</v>
      </c>
      <c r="K33" s="1">
        <f t="shared" si="11"/>
        <v>590</v>
      </c>
      <c r="L33" s="4">
        <f t="shared" si="12"/>
        <v>1</v>
      </c>
    </row>
    <row r="34" spans="3:12">
      <c r="C34" s="1">
        <v>1700</v>
      </c>
      <c r="D34" s="1">
        <v>300</v>
      </c>
      <c r="E34" s="1">
        <f t="shared" si="7"/>
        <v>1400</v>
      </c>
      <c r="F34" s="1">
        <v>2</v>
      </c>
      <c r="G34" s="1">
        <v>0</v>
      </c>
      <c r="H34" s="1">
        <f t="shared" si="8"/>
        <v>0</v>
      </c>
      <c r="I34" s="1">
        <f t="shared" si="9"/>
        <v>0</v>
      </c>
      <c r="J34" s="1">
        <f t="shared" si="10"/>
        <v>0</v>
      </c>
      <c r="K34" s="1">
        <f t="shared" si="11"/>
        <v>1700</v>
      </c>
      <c r="L34" s="4">
        <f t="shared" si="12"/>
        <v>3</v>
      </c>
    </row>
  </sheetData>
  <sortState ref="C25:L34">
    <sortCondition descending="1" ref="I25:I34"/>
  </sortState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J22"/>
  <sheetViews>
    <sheetView workbookViewId="0">
      <selection activeCell="M15" sqref="M15"/>
    </sheetView>
  </sheetViews>
  <sheetFormatPr defaultRowHeight="15"/>
  <sheetData>
    <row r="1" spans="1:10">
      <c r="A1" s="1" t="s">
        <v>53</v>
      </c>
      <c r="B1" s="1" t="s">
        <v>54</v>
      </c>
      <c r="D1" s="1" t="s">
        <v>53</v>
      </c>
      <c r="E1" s="1" t="s">
        <v>54</v>
      </c>
      <c r="G1" s="12" t="s">
        <v>55</v>
      </c>
      <c r="H1" s="11" t="s">
        <v>56</v>
      </c>
    </row>
    <row r="2" spans="1:10">
      <c r="A2" s="1">
        <v>-10</v>
      </c>
      <c r="B2" s="1">
        <f>3*A2^2-2*A2^2</f>
        <v>100</v>
      </c>
      <c r="D2" s="1">
        <v>-10</v>
      </c>
      <c r="E2" s="1">
        <f>3*D2^2-2*D2^2</f>
        <v>100</v>
      </c>
      <c r="G2" s="12">
        <f>40*A2^2-500</f>
        <v>3500</v>
      </c>
      <c r="H2">
        <f>3*D2^2-2*D2^2-(40*D2^2-500)</f>
        <v>-3400</v>
      </c>
      <c r="J2" t="s">
        <v>57</v>
      </c>
    </row>
    <row r="3" spans="1:10">
      <c r="A3" s="1">
        <v>-9</v>
      </c>
      <c r="B3" s="1">
        <f t="shared" ref="B3:B22" si="0">3*A3^2-2*A3^2</f>
        <v>81</v>
      </c>
      <c r="D3" s="1">
        <v>-9</v>
      </c>
      <c r="E3" s="1">
        <f t="shared" ref="E3:E22" si="1">3*D3^2-2*D3^2</f>
        <v>81</v>
      </c>
      <c r="G3" s="12">
        <f t="shared" ref="G3:G22" si="2">40*A3^2-500</f>
        <v>2740</v>
      </c>
      <c r="H3">
        <f t="shared" ref="H3:H22" si="3">3*D3^2-2*D3^2-(40*D3^2-500)</f>
        <v>-2659</v>
      </c>
      <c r="J3" t="s">
        <v>58</v>
      </c>
    </row>
    <row r="4" spans="1:10">
      <c r="A4" s="1">
        <v>-8</v>
      </c>
      <c r="B4" s="1">
        <f t="shared" si="0"/>
        <v>64</v>
      </c>
      <c r="D4" s="1">
        <v>-8</v>
      </c>
      <c r="E4" s="1">
        <f t="shared" si="1"/>
        <v>64</v>
      </c>
      <c r="G4" s="12">
        <f t="shared" si="2"/>
        <v>2060</v>
      </c>
      <c r="H4">
        <f t="shared" si="3"/>
        <v>-1996</v>
      </c>
    </row>
    <row r="5" spans="1:10">
      <c r="A5" s="1">
        <v>-7</v>
      </c>
      <c r="B5" s="1">
        <f t="shared" si="0"/>
        <v>49</v>
      </c>
      <c r="D5" s="1">
        <v>-7</v>
      </c>
      <c r="E5" s="1">
        <f t="shared" si="1"/>
        <v>49</v>
      </c>
      <c r="G5" s="12">
        <f t="shared" si="2"/>
        <v>1460</v>
      </c>
      <c r="H5">
        <f t="shared" si="3"/>
        <v>-1411</v>
      </c>
    </row>
    <row r="6" spans="1:10">
      <c r="A6" s="1">
        <v>-6</v>
      </c>
      <c r="B6" s="1">
        <f t="shared" si="0"/>
        <v>36</v>
      </c>
      <c r="D6" s="1">
        <v>-6</v>
      </c>
      <c r="E6" s="1">
        <f t="shared" si="1"/>
        <v>36</v>
      </c>
      <c r="G6" s="12">
        <f t="shared" si="2"/>
        <v>940</v>
      </c>
      <c r="H6">
        <f t="shared" si="3"/>
        <v>-904</v>
      </c>
    </row>
    <row r="7" spans="1:10">
      <c r="A7" s="1">
        <v>-5</v>
      </c>
      <c r="B7" s="1">
        <f t="shared" si="0"/>
        <v>25</v>
      </c>
      <c r="D7" s="13">
        <v>-3.5805748108457767</v>
      </c>
      <c r="E7" s="1">
        <f t="shared" si="1"/>
        <v>12.82051597606327</v>
      </c>
      <c r="G7" s="12">
        <f t="shared" si="2"/>
        <v>500</v>
      </c>
      <c r="H7" s="14">
        <f t="shared" si="3"/>
        <v>-1.2306646745940952E-4</v>
      </c>
    </row>
    <row r="8" spans="1:10">
      <c r="A8" s="1">
        <v>-4</v>
      </c>
      <c r="B8" s="1">
        <f t="shared" si="0"/>
        <v>16</v>
      </c>
      <c r="D8">
        <v>-4</v>
      </c>
      <c r="E8" s="1">
        <f t="shared" si="1"/>
        <v>16</v>
      </c>
      <c r="G8" s="12">
        <f t="shared" si="2"/>
        <v>140</v>
      </c>
      <c r="H8">
        <f t="shared" si="3"/>
        <v>-124</v>
      </c>
    </row>
    <row r="9" spans="1:10">
      <c r="A9" s="1">
        <v>-3</v>
      </c>
      <c r="B9" s="1">
        <f t="shared" si="0"/>
        <v>9</v>
      </c>
      <c r="D9" s="1">
        <v>-3</v>
      </c>
      <c r="E9" s="1">
        <f t="shared" si="1"/>
        <v>9</v>
      </c>
      <c r="G9" s="12">
        <f t="shared" si="2"/>
        <v>-140</v>
      </c>
      <c r="H9">
        <f t="shared" si="3"/>
        <v>149</v>
      </c>
    </row>
    <row r="10" spans="1:10">
      <c r="A10" s="1">
        <v>-2</v>
      </c>
      <c r="B10" s="1">
        <f t="shared" si="0"/>
        <v>4</v>
      </c>
      <c r="D10" s="1">
        <v>-2</v>
      </c>
      <c r="E10" s="1">
        <f t="shared" si="1"/>
        <v>4</v>
      </c>
      <c r="G10" s="12">
        <f t="shared" si="2"/>
        <v>-340</v>
      </c>
      <c r="H10">
        <f t="shared" si="3"/>
        <v>344</v>
      </c>
    </row>
    <row r="11" spans="1:10">
      <c r="A11" s="1">
        <v>-1</v>
      </c>
      <c r="B11" s="1">
        <f t="shared" si="0"/>
        <v>1</v>
      </c>
      <c r="D11" s="1">
        <v>-1</v>
      </c>
      <c r="E11" s="1">
        <f t="shared" si="1"/>
        <v>1</v>
      </c>
      <c r="G11" s="12">
        <f t="shared" si="2"/>
        <v>-460</v>
      </c>
      <c r="H11">
        <f t="shared" si="3"/>
        <v>461</v>
      </c>
    </row>
    <row r="12" spans="1:10">
      <c r="A12" s="1">
        <v>0</v>
      </c>
      <c r="B12" s="1">
        <f t="shared" si="0"/>
        <v>0</v>
      </c>
      <c r="D12" s="9">
        <v>0</v>
      </c>
      <c r="E12" s="9">
        <f t="shared" si="1"/>
        <v>0</v>
      </c>
      <c r="G12" s="12">
        <f t="shared" si="2"/>
        <v>-500</v>
      </c>
      <c r="H12">
        <f t="shared" si="3"/>
        <v>500</v>
      </c>
    </row>
    <row r="13" spans="1:10">
      <c r="A13" s="1">
        <v>1</v>
      </c>
      <c r="B13" s="1">
        <f t="shared" si="0"/>
        <v>1</v>
      </c>
      <c r="D13" s="1">
        <v>1</v>
      </c>
      <c r="E13" s="1">
        <f t="shared" si="1"/>
        <v>1</v>
      </c>
      <c r="G13" s="12">
        <f t="shared" si="2"/>
        <v>-460</v>
      </c>
      <c r="H13">
        <f t="shared" si="3"/>
        <v>461</v>
      </c>
    </row>
    <row r="14" spans="1:10">
      <c r="A14" s="1">
        <v>2</v>
      </c>
      <c r="B14" s="1">
        <f t="shared" si="0"/>
        <v>4</v>
      </c>
      <c r="D14" s="1">
        <v>2</v>
      </c>
      <c r="E14" s="1">
        <f t="shared" si="1"/>
        <v>4</v>
      </c>
      <c r="G14" s="12">
        <f t="shared" si="2"/>
        <v>-340</v>
      </c>
      <c r="H14">
        <f t="shared" si="3"/>
        <v>344</v>
      </c>
    </row>
    <row r="15" spans="1:10">
      <c r="A15" s="1">
        <v>3</v>
      </c>
      <c r="B15" s="1">
        <f t="shared" si="0"/>
        <v>9</v>
      </c>
      <c r="D15" s="13">
        <v>3.5805720020774783</v>
      </c>
      <c r="E15" s="1">
        <f t="shared" si="1"/>
        <v>12.820495862061119</v>
      </c>
      <c r="G15" s="12">
        <f t="shared" si="2"/>
        <v>-140</v>
      </c>
      <c r="H15" s="14">
        <f t="shared" si="3"/>
        <v>6.613796163428276E-4</v>
      </c>
    </row>
    <row r="16" spans="1:10">
      <c r="A16" s="1">
        <v>4</v>
      </c>
      <c r="B16" s="1">
        <f t="shared" si="0"/>
        <v>16</v>
      </c>
      <c r="D16" s="1">
        <v>4</v>
      </c>
      <c r="E16" s="1">
        <f t="shared" si="1"/>
        <v>16</v>
      </c>
      <c r="G16" s="12">
        <f t="shared" si="2"/>
        <v>140</v>
      </c>
      <c r="H16">
        <f t="shared" si="3"/>
        <v>-124</v>
      </c>
    </row>
    <row r="17" spans="1:8">
      <c r="A17" s="1">
        <v>5</v>
      </c>
      <c r="B17" s="1">
        <f t="shared" si="0"/>
        <v>25</v>
      </c>
      <c r="D17" s="1">
        <v>5</v>
      </c>
      <c r="E17" s="1">
        <f t="shared" si="1"/>
        <v>25</v>
      </c>
      <c r="G17" s="12">
        <f t="shared" si="2"/>
        <v>500</v>
      </c>
      <c r="H17">
        <f t="shared" si="3"/>
        <v>-475</v>
      </c>
    </row>
    <row r="18" spans="1:8">
      <c r="A18" s="1">
        <v>6</v>
      </c>
      <c r="B18" s="1">
        <f t="shared" si="0"/>
        <v>36</v>
      </c>
      <c r="D18" s="1">
        <v>6</v>
      </c>
      <c r="E18" s="1">
        <f t="shared" si="1"/>
        <v>36</v>
      </c>
      <c r="G18" s="12">
        <f t="shared" si="2"/>
        <v>940</v>
      </c>
      <c r="H18">
        <f t="shared" si="3"/>
        <v>-904</v>
      </c>
    </row>
    <row r="19" spans="1:8">
      <c r="A19" s="1">
        <v>7</v>
      </c>
      <c r="B19" s="1">
        <f t="shared" si="0"/>
        <v>49</v>
      </c>
      <c r="D19" s="1">
        <v>7</v>
      </c>
      <c r="E19" s="1">
        <f t="shared" si="1"/>
        <v>49</v>
      </c>
      <c r="G19" s="12">
        <f t="shared" si="2"/>
        <v>1460</v>
      </c>
      <c r="H19">
        <f t="shared" si="3"/>
        <v>-1411</v>
      </c>
    </row>
    <row r="20" spans="1:8">
      <c r="A20" s="1">
        <v>8</v>
      </c>
      <c r="B20" s="1">
        <f t="shared" si="0"/>
        <v>64</v>
      </c>
      <c r="D20" s="1">
        <v>8</v>
      </c>
      <c r="E20" s="1">
        <f t="shared" si="1"/>
        <v>64</v>
      </c>
      <c r="G20" s="12">
        <f t="shared" si="2"/>
        <v>2060</v>
      </c>
      <c r="H20">
        <f t="shared" si="3"/>
        <v>-1996</v>
      </c>
    </row>
    <row r="21" spans="1:8">
      <c r="A21" s="1">
        <v>9</v>
      </c>
      <c r="B21" s="1">
        <f t="shared" si="0"/>
        <v>81</v>
      </c>
      <c r="D21" s="1">
        <v>9</v>
      </c>
      <c r="E21" s="1">
        <f t="shared" si="1"/>
        <v>81</v>
      </c>
      <c r="G21" s="12">
        <f t="shared" si="2"/>
        <v>2740</v>
      </c>
      <c r="H21">
        <f t="shared" si="3"/>
        <v>-2659</v>
      </c>
    </row>
    <row r="22" spans="1:8">
      <c r="A22" s="1">
        <v>10</v>
      </c>
      <c r="B22" s="1">
        <f t="shared" si="0"/>
        <v>100</v>
      </c>
      <c r="D22" s="1">
        <v>10</v>
      </c>
      <c r="E22" s="1">
        <f t="shared" si="1"/>
        <v>100</v>
      </c>
      <c r="G22" s="12">
        <f t="shared" si="2"/>
        <v>3500</v>
      </c>
      <c r="H22">
        <f t="shared" si="3"/>
        <v>-3400</v>
      </c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H40"/>
  <sheetViews>
    <sheetView workbookViewId="0">
      <selection activeCell="M12" sqref="M12"/>
    </sheetView>
  </sheetViews>
  <sheetFormatPr defaultRowHeight="15"/>
  <cols>
    <col min="1" max="1" width="24.85546875" customWidth="1"/>
    <col min="2" max="2" width="19.28515625" customWidth="1"/>
    <col min="5" max="5" width="19" customWidth="1"/>
    <col min="6" max="6" width="23.5703125" customWidth="1"/>
    <col min="7" max="7" width="10.5703125" bestFit="1" customWidth="1"/>
  </cols>
  <sheetData>
    <row r="1" spans="1:8">
      <c r="A1" s="1" t="s">
        <v>33</v>
      </c>
      <c r="B1" s="1" t="s">
        <v>34</v>
      </c>
      <c r="C1" s="1"/>
      <c r="F1" s="1" t="s">
        <v>49</v>
      </c>
      <c r="G1" s="1" t="s">
        <v>34</v>
      </c>
      <c r="H1" s="1"/>
    </row>
    <row r="2" spans="1:8">
      <c r="A2" s="1" t="s">
        <v>35</v>
      </c>
      <c r="B2" s="1">
        <v>2000</v>
      </c>
      <c r="C2" s="1" t="s">
        <v>41</v>
      </c>
      <c r="F2" s="1" t="s">
        <v>50</v>
      </c>
      <c r="G2" s="1">
        <v>714</v>
      </c>
      <c r="H2" s="1" t="s">
        <v>41</v>
      </c>
    </row>
    <row r="3" spans="1:8">
      <c r="A3" s="1" t="s">
        <v>36</v>
      </c>
      <c r="B3" s="1">
        <v>8</v>
      </c>
      <c r="C3" s="1" t="s">
        <v>42</v>
      </c>
      <c r="F3" s="1" t="s">
        <v>51</v>
      </c>
      <c r="G3" s="1">
        <v>8</v>
      </c>
      <c r="H3" s="1" t="s">
        <v>42</v>
      </c>
    </row>
    <row r="4" spans="1:8">
      <c r="A4" s="1" t="s">
        <v>37</v>
      </c>
      <c r="B4" s="1">
        <v>30.11</v>
      </c>
      <c r="C4" s="1" t="s">
        <v>43</v>
      </c>
      <c r="F4" s="1" t="s">
        <v>37</v>
      </c>
      <c r="G4" s="10">
        <v>30.11</v>
      </c>
      <c r="H4" s="1" t="s">
        <v>43</v>
      </c>
    </row>
    <row r="5" spans="1:8">
      <c r="A5" s="1" t="s">
        <v>38</v>
      </c>
      <c r="B5" s="1">
        <v>2</v>
      </c>
      <c r="C5" s="1" t="s">
        <v>44</v>
      </c>
      <c r="F5" s="1" t="s">
        <v>38</v>
      </c>
      <c r="G5" s="1">
        <v>2</v>
      </c>
      <c r="H5" s="1" t="s">
        <v>44</v>
      </c>
    </row>
    <row r="6" spans="1:8">
      <c r="A6" s="1" t="s">
        <v>39</v>
      </c>
      <c r="B6" s="1">
        <v>4140</v>
      </c>
      <c r="C6" s="1" t="s">
        <v>45</v>
      </c>
      <c r="F6" s="1" t="s">
        <v>52</v>
      </c>
      <c r="G6" s="1">
        <v>2828</v>
      </c>
      <c r="H6" s="1" t="s">
        <v>45</v>
      </c>
    </row>
    <row r="7" spans="1:8">
      <c r="A7" s="1" t="s">
        <v>40</v>
      </c>
      <c r="B7" s="1">
        <f>B2*B3:B3/100*B4-B6*B5</f>
        <v>-3462.3999999999996</v>
      </c>
      <c r="C7" s="1" t="s">
        <v>43</v>
      </c>
      <c r="F7" s="1" t="s">
        <v>40</v>
      </c>
      <c r="G7" s="10">
        <f>G2*G3/100*G4-G6*G5</f>
        <v>-3936.1167999999998</v>
      </c>
      <c r="H7" s="1" t="s">
        <v>43</v>
      </c>
    </row>
    <row r="10" spans="1:8">
      <c r="A10" s="1" t="s">
        <v>33</v>
      </c>
      <c r="B10" s="1" t="s">
        <v>46</v>
      </c>
      <c r="C10" s="1"/>
      <c r="F10" s="1" t="s">
        <v>49</v>
      </c>
      <c r="G10" s="1" t="s">
        <v>34</v>
      </c>
      <c r="H10" s="1"/>
    </row>
    <row r="11" spans="1:8">
      <c r="A11" s="1" t="s">
        <v>35</v>
      </c>
      <c r="B11" s="1">
        <v>2000</v>
      </c>
      <c r="C11" s="1" t="s">
        <v>41</v>
      </c>
      <c r="F11" s="1" t="s">
        <v>50</v>
      </c>
      <c r="G11" s="1">
        <v>714</v>
      </c>
      <c r="H11" s="1" t="s">
        <v>41</v>
      </c>
    </row>
    <row r="12" spans="1:8">
      <c r="A12" s="1" t="s">
        <v>36</v>
      </c>
      <c r="B12" s="1">
        <v>8</v>
      </c>
      <c r="C12" s="1" t="s">
        <v>42</v>
      </c>
      <c r="F12" s="1" t="s">
        <v>51</v>
      </c>
      <c r="G12" s="1">
        <v>8</v>
      </c>
      <c r="H12" s="1" t="s">
        <v>42</v>
      </c>
    </row>
    <row r="13" spans="1:8">
      <c r="A13" s="1" t="s">
        <v>37</v>
      </c>
      <c r="B13" s="1">
        <v>30.11</v>
      </c>
      <c r="C13" s="1" t="s">
        <v>43</v>
      </c>
      <c r="F13" s="1" t="s">
        <v>37</v>
      </c>
      <c r="G13" s="10">
        <v>30.11</v>
      </c>
      <c r="H13" s="1" t="s">
        <v>43</v>
      </c>
    </row>
    <row r="14" spans="1:8">
      <c r="A14" s="1" t="s">
        <v>38</v>
      </c>
      <c r="B14" s="1">
        <v>2</v>
      </c>
      <c r="C14" s="1" t="s">
        <v>44</v>
      </c>
      <c r="F14" s="1" t="s">
        <v>38</v>
      </c>
      <c r="G14" s="9">
        <v>0.60816237623762304</v>
      </c>
      <c r="H14" s="1" t="s">
        <v>44</v>
      </c>
    </row>
    <row r="15" spans="1:8">
      <c r="A15" s="1" t="s">
        <v>39</v>
      </c>
      <c r="B15" s="9">
        <v>2408.8000000000002</v>
      </c>
      <c r="C15" s="1" t="s">
        <v>45</v>
      </c>
      <c r="F15" s="1" t="s">
        <v>52</v>
      </c>
      <c r="G15" s="1">
        <v>2828</v>
      </c>
      <c r="H15" s="1" t="s">
        <v>45</v>
      </c>
    </row>
    <row r="16" spans="1:8">
      <c r="A16" s="1" t="s">
        <v>40</v>
      </c>
      <c r="B16" s="1">
        <f>B11*B12:B12/100*B13-B15*B14</f>
        <v>0</v>
      </c>
      <c r="C16" s="1" t="s">
        <v>43</v>
      </c>
      <c r="F16" s="1" t="s">
        <v>40</v>
      </c>
      <c r="G16" s="10">
        <f>G11*G12/100*G13-G15*G14</f>
        <v>2.0463630789890885E-12</v>
      </c>
      <c r="H16" s="1" t="s">
        <v>43</v>
      </c>
    </row>
    <row r="19" spans="1:8">
      <c r="A19" s="1" t="s">
        <v>33</v>
      </c>
      <c r="B19" s="1" t="s">
        <v>47</v>
      </c>
      <c r="C19" s="1"/>
      <c r="F19" s="1" t="s">
        <v>49</v>
      </c>
      <c r="G19" s="1" t="s">
        <v>34</v>
      </c>
      <c r="H19" s="1"/>
    </row>
    <row r="20" spans="1:8">
      <c r="A20" s="1" t="s">
        <v>35</v>
      </c>
      <c r="B20" s="1">
        <v>2000</v>
      </c>
      <c r="C20" s="1" t="s">
        <v>41</v>
      </c>
      <c r="F20" s="1" t="s">
        <v>50</v>
      </c>
      <c r="G20" s="1">
        <v>714</v>
      </c>
      <c r="H20" s="1" t="s">
        <v>41</v>
      </c>
    </row>
    <row r="21" spans="1:8">
      <c r="A21" s="1" t="s">
        <v>36</v>
      </c>
      <c r="B21" s="1">
        <v>8</v>
      </c>
      <c r="C21" s="1" t="s">
        <v>42</v>
      </c>
      <c r="F21" s="1" t="s">
        <v>51</v>
      </c>
      <c r="G21" s="9">
        <v>26.308763292763132</v>
      </c>
      <c r="H21" s="1" t="s">
        <v>42</v>
      </c>
    </row>
    <row r="22" spans="1:8">
      <c r="A22" s="1" t="s">
        <v>37</v>
      </c>
      <c r="B22" s="1">
        <v>30.11</v>
      </c>
      <c r="C22" s="1" t="s">
        <v>43</v>
      </c>
      <c r="F22" s="1" t="s">
        <v>37</v>
      </c>
      <c r="G22" s="10">
        <v>30.11</v>
      </c>
      <c r="H22" s="1" t="s">
        <v>43</v>
      </c>
    </row>
    <row r="23" spans="1:8">
      <c r="A23" s="1" t="s">
        <v>38</v>
      </c>
      <c r="B23" s="9">
        <v>1.1636714975845412</v>
      </c>
      <c r="C23" s="1" t="s">
        <v>44</v>
      </c>
      <c r="F23" s="1" t="s">
        <v>38</v>
      </c>
      <c r="G23" s="1">
        <v>2</v>
      </c>
      <c r="H23" s="1" t="s">
        <v>44</v>
      </c>
    </row>
    <row r="24" spans="1:8">
      <c r="A24" s="1" t="s">
        <v>39</v>
      </c>
      <c r="B24" s="1">
        <v>4140</v>
      </c>
      <c r="C24" s="1" t="s">
        <v>45</v>
      </c>
      <c r="F24" s="1" t="s">
        <v>52</v>
      </c>
      <c r="G24" s="1">
        <v>2828</v>
      </c>
      <c r="H24" s="1" t="s">
        <v>45</v>
      </c>
    </row>
    <row r="25" spans="1:8">
      <c r="A25" s="1" t="s">
        <v>40</v>
      </c>
      <c r="B25" s="1">
        <f>B20*B21:B21/100*B22-B24*B23</f>
        <v>0</v>
      </c>
      <c r="C25" s="1" t="s">
        <v>43</v>
      </c>
      <c r="F25" s="1" t="s">
        <v>40</v>
      </c>
      <c r="G25" s="10">
        <f>G20*G21/100*G22-G24*G23</f>
        <v>0</v>
      </c>
      <c r="H25" s="1" t="s">
        <v>43</v>
      </c>
    </row>
    <row r="28" spans="1:8">
      <c r="A28" s="1" t="s">
        <v>33</v>
      </c>
      <c r="B28" s="1" t="s">
        <v>48</v>
      </c>
      <c r="C28" s="1"/>
    </row>
    <row r="29" spans="1:8">
      <c r="A29" s="1" t="s">
        <v>35</v>
      </c>
      <c r="B29" s="1">
        <v>2000</v>
      </c>
      <c r="C29" s="1" t="s">
        <v>41</v>
      </c>
    </row>
    <row r="30" spans="1:8">
      <c r="A30" s="1" t="s">
        <v>36</v>
      </c>
      <c r="B30" s="1">
        <v>8</v>
      </c>
      <c r="C30" s="1" t="s">
        <v>42</v>
      </c>
    </row>
    <row r="31" spans="1:8">
      <c r="A31" s="1" t="s">
        <v>37</v>
      </c>
      <c r="B31" s="9">
        <v>51.75</v>
      </c>
      <c r="C31" s="1" t="s">
        <v>43</v>
      </c>
    </row>
    <row r="32" spans="1:8">
      <c r="A32" s="1" t="s">
        <v>38</v>
      </c>
      <c r="B32" s="1">
        <v>2</v>
      </c>
      <c r="C32" s="1" t="s">
        <v>44</v>
      </c>
    </row>
    <row r="33" spans="1:5">
      <c r="A33" s="1" t="s">
        <v>39</v>
      </c>
      <c r="B33" s="1">
        <v>4140</v>
      </c>
      <c r="C33" s="1" t="s">
        <v>45</v>
      </c>
    </row>
    <row r="34" spans="1:5">
      <c r="A34" s="1" t="s">
        <v>40</v>
      </c>
      <c r="B34" s="1">
        <f>B29*B30:B30/100*B31-B33*B32</f>
        <v>0</v>
      </c>
      <c r="C34" s="1" t="s">
        <v>43</v>
      </c>
    </row>
    <row r="38" spans="1:5" ht="15.75">
      <c r="E38" s="7"/>
    </row>
    <row r="39" spans="1:5" ht="15.75">
      <c r="E39" s="7"/>
    </row>
    <row r="40" spans="1:5" ht="15.75">
      <c r="E40" s="8"/>
    </row>
  </sheetData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tabSelected="1" workbookViewId="0">
      <selection activeCell="H13" sqref="H13"/>
    </sheetView>
  </sheetViews>
  <sheetFormatPr defaultRowHeight="15"/>
  <sheetData/>
  <pageMargins left="0.7" right="0.7" top="0.75" bottom="0.75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таблица</vt:lpstr>
      <vt:lpstr>график</vt:lpstr>
      <vt:lpstr>подбор параметра</vt:lpstr>
      <vt:lpstr>Макросы</vt:lpstr>
    </vt:vector>
  </TitlesOfParts>
  <Company>MIET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8211812</dc:creator>
  <cp:lastModifiedBy>8211812</cp:lastModifiedBy>
  <dcterms:created xsi:type="dcterms:W3CDTF">2021-10-19T12:02:54Z</dcterms:created>
  <dcterms:modified xsi:type="dcterms:W3CDTF">2021-11-02T15:45:05Z</dcterms:modified>
</cp:coreProperties>
</file>