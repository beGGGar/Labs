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00000000-0000-0000-0000-000000000000}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dmoi\Desktop\Study\LABS\Инф\Lab5-3\"/>
    </mc:Choice>
  </mc:AlternateContent>
  <xr:revisionPtr revIDLastSave="0" documentId="13_ncr:1_{18998907-ACF1-40A7-B14B-9B80291EBD6D}" xr6:coauthVersionLast="45" xr6:coauthVersionMax="47" xr10:uidLastSave="{00000000-0000-0000-0000-000000000000}"/>
  <bookViews>
    <workbookView xWindow="-120" yWindow="-120" windowWidth="29040" windowHeight="15840" firstSheet="4" activeTab="4" xr2:uid="{00000000-000D-0000-FFFF-FFFF00000000}"/>
  </bookViews>
  <sheets>
    <sheet name="таблица" sheetId="1" r:id="rId1"/>
    <sheet name="график" sheetId="2" r:id="rId2"/>
    <sheet name="подбор параметра" sheetId="3" r:id="rId3"/>
    <sheet name="Макросы" sheetId="5" r:id="rId4"/>
    <sheet name="Сводная таблица" sheetId="6" r:id="rId5"/>
  </sheets>
  <calcPr calcId="191028"/>
  <pivotCaches>
    <pivotCache cacheId="0" r:id="rId6"/>
    <pivotCache cacheId="2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2" l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" i="2"/>
  <c r="G25" i="3"/>
  <c r="G16" i="3"/>
  <c r="G7" i="3"/>
  <c r="B7" i="3"/>
  <c r="B34" i="3"/>
  <c r="B25" i="3"/>
  <c r="B16" i="3"/>
  <c r="D22" i="1"/>
  <c r="F22" i="1"/>
  <c r="G22" i="1"/>
  <c r="C22" i="1"/>
  <c r="H30" i="1"/>
  <c r="E30" i="1"/>
  <c r="I30" i="1" s="1"/>
  <c r="H29" i="1"/>
  <c r="E29" i="1"/>
  <c r="I29" i="1" s="1"/>
  <c r="H28" i="1"/>
  <c r="E28" i="1"/>
  <c r="I28" i="1" s="1"/>
  <c r="H34" i="1"/>
  <c r="E34" i="1"/>
  <c r="I34" i="1" s="1"/>
  <c r="H31" i="1"/>
  <c r="E31" i="1"/>
  <c r="I31" i="1" s="1"/>
  <c r="H33" i="1"/>
  <c r="E33" i="1"/>
  <c r="I33" i="1" s="1"/>
  <c r="H25" i="1"/>
  <c r="E25" i="1"/>
  <c r="I25" i="1" s="1"/>
  <c r="H27" i="1"/>
  <c r="E27" i="1"/>
  <c r="I27" i="1" s="1"/>
  <c r="H26" i="1"/>
  <c r="E26" i="1"/>
  <c r="I26" i="1" s="1"/>
  <c r="H32" i="1"/>
  <c r="E32" i="1"/>
  <c r="I32" i="1" s="1"/>
  <c r="H12" i="1"/>
  <c r="H13" i="1"/>
  <c r="H14" i="1"/>
  <c r="H15" i="1"/>
  <c r="H16" i="1"/>
  <c r="H17" i="1"/>
  <c r="H18" i="1"/>
  <c r="H19" i="1"/>
  <c r="H20" i="1"/>
  <c r="H11" i="1"/>
  <c r="E12" i="1"/>
  <c r="I12" i="1" s="1"/>
  <c r="E13" i="1"/>
  <c r="I13" i="1" s="1"/>
  <c r="E14" i="1"/>
  <c r="I14" i="1" s="1"/>
  <c r="E15" i="1"/>
  <c r="I15" i="1" s="1"/>
  <c r="E16" i="1"/>
  <c r="I16" i="1" s="1"/>
  <c r="E17" i="1"/>
  <c r="I17" i="1" s="1"/>
  <c r="E18" i="1"/>
  <c r="I18" i="1" s="1"/>
  <c r="E19" i="1"/>
  <c r="I19" i="1" s="1"/>
  <c r="E20" i="1"/>
  <c r="I20" i="1" s="1"/>
  <c r="E11" i="1"/>
  <c r="E22" i="1" l="1"/>
  <c r="I11" i="1"/>
  <c r="I22" i="1" s="1"/>
  <c r="H22" i="1"/>
  <c r="J11" i="1"/>
  <c r="J20" i="1"/>
  <c r="K20" i="1" s="1"/>
  <c r="L20" i="1" s="1"/>
  <c r="J19" i="1"/>
  <c r="K19" i="1" s="1"/>
  <c r="L19" i="1" s="1"/>
  <c r="J18" i="1"/>
  <c r="K18" i="1" s="1"/>
  <c r="L18" i="1" s="1"/>
  <c r="J17" i="1"/>
  <c r="K17" i="1" s="1"/>
  <c r="L17" i="1" s="1"/>
  <c r="J16" i="1"/>
  <c r="K16" i="1" s="1"/>
  <c r="L16" i="1" s="1"/>
  <c r="J15" i="1"/>
  <c r="K15" i="1" s="1"/>
  <c r="L15" i="1" s="1"/>
  <c r="J14" i="1"/>
  <c r="K14" i="1" s="1"/>
  <c r="L14" i="1" s="1"/>
  <c r="J13" i="1"/>
  <c r="K13" i="1" s="1"/>
  <c r="L13" i="1" s="1"/>
  <c r="J12" i="1"/>
  <c r="K12" i="1" s="1"/>
  <c r="L12" i="1" s="1"/>
  <c r="J30" i="1"/>
  <c r="K30" i="1" s="1"/>
  <c r="L30" i="1" s="1"/>
  <c r="J26" i="1"/>
  <c r="K26" i="1" s="1"/>
  <c r="L26" i="1" s="1"/>
  <c r="J33" i="1"/>
  <c r="K33" i="1" s="1"/>
  <c r="L33" i="1" s="1"/>
  <c r="J27" i="1"/>
  <c r="K27" i="1" s="1"/>
  <c r="L27" i="1" s="1"/>
  <c r="J28" i="1"/>
  <c r="K28" i="1" s="1"/>
  <c r="L28" i="1" s="1"/>
  <c r="J32" i="1"/>
  <c r="K32" i="1" s="1"/>
  <c r="L32" i="1" s="1"/>
  <c r="J31" i="1"/>
  <c r="K31" i="1" s="1"/>
  <c r="L31" i="1" s="1"/>
  <c r="J29" i="1"/>
  <c r="K29" i="1" s="1"/>
  <c r="L29" i="1" s="1"/>
  <c r="J25" i="1"/>
  <c r="K25" i="1" s="1"/>
  <c r="L25" i="1" s="1"/>
  <c r="J34" i="1"/>
  <c r="K34" i="1" s="1"/>
  <c r="L34" i="1" s="1"/>
  <c r="J22" i="1" l="1"/>
  <c r="E7" i="1"/>
  <c r="K11" i="1"/>
  <c r="K22" i="1" l="1"/>
  <c r="L11" i="1"/>
  <c r="L22" i="1" s="1"/>
</calcChain>
</file>

<file path=xl/sharedStrings.xml><?xml version="1.0" encoding="utf-8"?>
<sst xmlns="http://schemas.openxmlformats.org/spreadsheetml/2006/main" count="415" uniqueCount="123">
  <si>
    <t>Правила расчета скидки</t>
  </si>
  <si>
    <t>Скидка</t>
  </si>
  <si>
    <t>ед. изм.</t>
  </si>
  <si>
    <t>Наклейки Gold и сумма за акционные товары&gt;=6000</t>
  </si>
  <si>
    <t>% от суммы акционных товаров</t>
  </si>
  <si>
    <t>Наклейки Gold и сумма за акционные товары от 3000 до 6000 и наклеек gold &gt;2</t>
  </si>
  <si>
    <t>Наклейки Gold и сумма за акционные товары&lt;3000</t>
  </si>
  <si>
    <t>Наклейки silver и сумма за акционные товары &gt;=5000</t>
  </si>
  <si>
    <t xml:space="preserve">рублей за наклейку но не более суммы </t>
  </si>
  <si>
    <t>Наклейки silver и сумма за акционные товары &lt;5000</t>
  </si>
  <si>
    <t>№</t>
  </si>
  <si>
    <t>Клиент</t>
  </si>
  <si>
    <t>Cуммы покупки руб</t>
  </si>
  <si>
    <t>В том числе сумма за акционные товары? руб</t>
  </si>
  <si>
    <t>Сумма за неакционные товары, руб</t>
  </si>
  <si>
    <t>Наклейки Gold, шт</t>
  </si>
  <si>
    <t>Наклейки silver, шт</t>
  </si>
  <si>
    <t>Скидка по наклейкам Gold, шт</t>
  </si>
  <si>
    <t>Скидка по наклейкам silver, шт</t>
  </si>
  <si>
    <t>Суммарная скидка, руб</t>
  </si>
  <si>
    <t>Итоговая сумма, руб</t>
  </si>
  <si>
    <t>Наклейки новой акции , шт</t>
  </si>
  <si>
    <t>Петров</t>
  </si>
  <si>
    <t>Сидоров</t>
  </si>
  <si>
    <t>Дементьев</t>
  </si>
  <si>
    <t>Добрынина</t>
  </si>
  <si>
    <t>Зыкин</t>
  </si>
  <si>
    <t>Толкаенко</t>
  </si>
  <si>
    <t>Павлов</t>
  </si>
  <si>
    <t>Гришин</t>
  </si>
  <si>
    <t>Прохина</t>
  </si>
  <si>
    <t>Щепкина</t>
  </si>
  <si>
    <t>Итог:</t>
  </si>
  <si>
    <t>x</t>
  </si>
  <si>
    <t>y</t>
  </si>
  <si>
    <t>z</t>
  </si>
  <si>
    <t>y-z</t>
  </si>
  <si>
    <t>y пересекает Ох в х=0</t>
  </si>
  <si>
    <t>y пересекает z в х=3.58 и х=-3.58</t>
  </si>
  <si>
    <t>Москва-Екатеринбург</t>
  </si>
  <si>
    <t>Исходные данные</t>
  </si>
  <si>
    <t>Москва-Минск</t>
  </si>
  <si>
    <t>расстояние</t>
  </si>
  <si>
    <t>км</t>
  </si>
  <si>
    <t>Расстояние</t>
  </si>
  <si>
    <t>расход бензина на 100 км</t>
  </si>
  <si>
    <t>л</t>
  </si>
  <si>
    <t>Расход бензина на 100 км</t>
  </si>
  <si>
    <t xml:space="preserve">цена бензина </t>
  </si>
  <si>
    <t>р</t>
  </si>
  <si>
    <t>кол-во пассажиров</t>
  </si>
  <si>
    <t>чел</t>
  </si>
  <si>
    <t xml:space="preserve">цена билета в купе ржд </t>
  </si>
  <si>
    <t>р/чел</t>
  </si>
  <si>
    <t>цена билета в купе ржд</t>
  </si>
  <si>
    <t>разность авто и ж/д</t>
  </si>
  <si>
    <t>Подбор цены билета</t>
  </si>
  <si>
    <t>Подбор количества пассажиров</t>
  </si>
  <si>
    <t>Подбор цены бензина</t>
  </si>
  <si>
    <t>ID заказа</t>
  </si>
  <si>
    <t>Дата выполнения</t>
  </si>
  <si>
    <t>студент</t>
  </si>
  <si>
    <t>Наименование работы</t>
  </si>
  <si>
    <t>Город</t>
  </si>
  <si>
    <t>Сумма</t>
  </si>
  <si>
    <t>Сумма по полю Сумма</t>
  </si>
  <si>
    <t>Количество по полю Сумма</t>
  </si>
  <si>
    <t>0001</t>
  </si>
  <si>
    <t>Рыков</t>
  </si>
  <si>
    <t>Разработка алгоритма</t>
  </si>
  <si>
    <t>Краснодар</t>
  </si>
  <si>
    <t>Аванесов</t>
  </si>
  <si>
    <t>Тестирование ПО</t>
  </si>
  <si>
    <t>Деточкин</t>
  </si>
  <si>
    <t>Иванов</t>
  </si>
  <si>
    <t>Лосев</t>
  </si>
  <si>
    <t>Петренко</t>
  </si>
  <si>
    <t>Троекуров</t>
  </si>
  <si>
    <t>Общий итог</t>
  </si>
  <si>
    <t>0002</t>
  </si>
  <si>
    <t>Программирование</t>
  </si>
  <si>
    <t>Саратов</t>
  </si>
  <si>
    <t>Внедрение ПО</t>
  </si>
  <si>
    <t>Астрахань</t>
  </si>
  <si>
    <t>0003</t>
  </si>
  <si>
    <t xml:space="preserve">Иваново </t>
  </si>
  <si>
    <t>0004</t>
  </si>
  <si>
    <t xml:space="preserve">Волгоград </t>
  </si>
  <si>
    <t>0005</t>
  </si>
  <si>
    <t>0006</t>
  </si>
  <si>
    <t>Астрахань Итог</t>
  </si>
  <si>
    <t>0007</t>
  </si>
  <si>
    <t>0008</t>
  </si>
  <si>
    <t xml:space="preserve">волгоград </t>
  </si>
  <si>
    <t>0009</t>
  </si>
  <si>
    <t>0010</t>
  </si>
  <si>
    <t>0011</t>
  </si>
  <si>
    <t>0012</t>
  </si>
  <si>
    <t>0013</t>
  </si>
  <si>
    <t>Волгоград  Итог</t>
  </si>
  <si>
    <t>0014</t>
  </si>
  <si>
    <t>0015</t>
  </si>
  <si>
    <t>0016</t>
  </si>
  <si>
    <t>0017</t>
  </si>
  <si>
    <t>внедрение ПО</t>
  </si>
  <si>
    <t>0018</t>
  </si>
  <si>
    <t>0019</t>
  </si>
  <si>
    <t>Иваново  Итог</t>
  </si>
  <si>
    <t>0020</t>
  </si>
  <si>
    <t>0021</t>
  </si>
  <si>
    <t>0022</t>
  </si>
  <si>
    <t>0023</t>
  </si>
  <si>
    <t>0024</t>
  </si>
  <si>
    <t>Краснодар Итог</t>
  </si>
  <si>
    <t>0025</t>
  </si>
  <si>
    <t>0026</t>
  </si>
  <si>
    <t>0027</t>
  </si>
  <si>
    <t>0028</t>
  </si>
  <si>
    <t>0029</t>
  </si>
  <si>
    <t>0030</t>
  </si>
  <si>
    <t>Саратов Итог</t>
  </si>
  <si>
    <t>Названия строк</t>
  </si>
  <si>
    <t>Названия столбцов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</si>
</sst>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12"/>
      <color theme="1"/>
      <name val="Symbol"/>
      <family val="1"/>
      <charset val="2"/>
    </font>
    <font>
      <sz val="11"/>
      <color theme="0"/>
      <name val="Calibri"/>
      <family val="2"/>
      <charset val="204"/>
      <scheme val="minor"/>
    </font>
    <font>
      <b/>
      <sz val="12"/>
      <color indexed="12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9" tint="0.39997558519241921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5" fillId="3" borderId="0" applyNumberFormat="0" applyBorder="0" applyAlignment="0" applyProtection="0"/>
  </cellStyleXfs>
  <cellXfs count="21">
    <xf numFmtId="0" fontId="0" fillId="0" borderId="0" xfId="0"/>
    <xf numFmtId="0" fontId="0" fillId="0" borderId="1" xfId="0" applyBorder="1"/>
    <xf numFmtId="0" fontId="0" fillId="0" borderId="1" xfId="0" applyBorder="1" applyAlignment="1">
      <alignment wrapText="1"/>
    </xf>
    <xf numFmtId="0" fontId="1" fillId="0" borderId="1" xfId="0" applyFont="1" applyBorder="1" applyAlignment="1">
      <alignment vertical="top" wrapText="1"/>
    </xf>
    <xf numFmtId="1" fontId="0" fillId="0" borderId="1" xfId="0" applyNumberFormat="1" applyBorder="1"/>
    <xf numFmtId="0" fontId="4" fillId="0" borderId="0" xfId="0" applyFont="1" applyAlignment="1">
      <alignment horizontal="justify"/>
    </xf>
    <xf numFmtId="0" fontId="3" fillId="0" borderId="0" xfId="0" applyFont="1"/>
    <xf numFmtId="0" fontId="2" fillId="2" borderId="1" xfId="1" applyBorder="1"/>
    <xf numFmtId="2" fontId="0" fillId="0" borderId="1" xfId="0" applyNumberFormat="1" applyBorder="1"/>
    <xf numFmtId="0" fontId="0" fillId="0" borderId="2" xfId="0" applyBorder="1"/>
    <xf numFmtId="0" fontId="5" fillId="3" borderId="1" xfId="2" applyBorder="1"/>
    <xf numFmtId="0" fontId="5" fillId="3" borderId="0" xfId="2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applyNumberFormat="1"/>
    <xf numFmtId="14" fontId="0" fillId="0" borderId="0" xfId="0" applyNumberFormat="1" applyAlignment="1">
      <alignment wrapText="1"/>
    </xf>
    <xf numFmtId="14" fontId="0" fillId="0" borderId="0" xfId="0" applyNumberFormat="1" applyAlignment="1"/>
    <xf numFmtId="0" fontId="0" fillId="0" borderId="0" xfId="0" applyAlignment="1">
      <alignment horizontal="left"/>
    </xf>
  </cellXfs>
  <cellStyles count="3">
    <cellStyle name="60% — акцент6" xfId="2" builtinId="52"/>
    <cellStyle name="Обычный" xfId="0" builtinId="0"/>
    <cellStyle name="Хороший" xfId="1" builtinId="26"/>
  </cellStyles>
  <dxfs count="3">
    <dxf>
      <alignment wrapText="1"/>
    </dxf>
    <dxf>
      <alignment wrapText="0"/>
    </dxf>
    <dxf>
      <alignment wrapText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3*</a:t>
            </a:r>
            <a:r>
              <a:rPr lang="en-US"/>
              <a:t>x^2-2*x^3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график!$B$1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cat>
            <c:numRef>
              <c:f>график!$A$2:$A$22</c:f>
              <c:numCache>
                <c:formatCode>Основной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график!$B$2:$B$22</c:f>
              <c:numCache>
                <c:formatCode>Основной</c:formatCode>
                <c:ptCount val="21"/>
                <c:pt idx="0">
                  <c:v>100</c:v>
                </c:pt>
                <c:pt idx="1">
                  <c:v>81</c:v>
                </c:pt>
                <c:pt idx="2">
                  <c:v>64</c:v>
                </c:pt>
                <c:pt idx="3">
                  <c:v>49</c:v>
                </c:pt>
                <c:pt idx="4">
                  <c:v>36</c:v>
                </c:pt>
                <c:pt idx="5">
                  <c:v>25</c:v>
                </c:pt>
                <c:pt idx="6">
                  <c:v>16</c:v>
                </c:pt>
                <c:pt idx="7">
                  <c:v>9</c:v>
                </c:pt>
                <c:pt idx="8">
                  <c:v>4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4</c:v>
                </c:pt>
                <c:pt idx="13">
                  <c:v>9</c:v>
                </c:pt>
                <c:pt idx="14">
                  <c:v>16</c:v>
                </c:pt>
                <c:pt idx="15">
                  <c:v>25</c:v>
                </c:pt>
                <c:pt idx="16">
                  <c:v>36</c:v>
                </c:pt>
                <c:pt idx="17">
                  <c:v>49</c:v>
                </c:pt>
                <c:pt idx="18">
                  <c:v>64</c:v>
                </c:pt>
                <c:pt idx="19">
                  <c:v>81</c:v>
                </c:pt>
                <c:pt idx="2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5B-4237-BE0D-4F7AE847F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298112"/>
        <c:axId val="118299648"/>
      </c:lineChart>
      <c:catAx>
        <c:axId val="118298112"/>
        <c:scaling>
          <c:orientation val="minMax"/>
        </c:scaling>
        <c:delete val="0"/>
        <c:axPos val="b"/>
        <c:numFmt formatCode="Основной" sourceLinked="1"/>
        <c:majorTickMark val="out"/>
        <c:minorTickMark val="none"/>
        <c:tickLblPos val="nextTo"/>
        <c:crossAx val="118299648"/>
        <c:crosses val="autoZero"/>
        <c:auto val="1"/>
        <c:lblAlgn val="ctr"/>
        <c:lblOffset val="100"/>
        <c:noMultiLvlLbl val="0"/>
      </c:catAx>
      <c:valAx>
        <c:axId val="118299648"/>
        <c:scaling>
          <c:orientation val="minMax"/>
        </c:scaling>
        <c:delete val="0"/>
        <c:axPos val="l"/>
        <c:majorGridlines/>
        <c:numFmt formatCode="Основной" sourceLinked="1"/>
        <c:majorTickMark val="out"/>
        <c:minorTickMark val="none"/>
        <c:tickLblPos val="nextTo"/>
        <c:crossAx val="11829811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y=</a:t>
            </a:r>
            <a:r>
              <a:rPr lang="ru-RU"/>
              <a:t>3*</a:t>
            </a:r>
            <a:r>
              <a:rPr lang="en-US"/>
              <a:t>x^2-2*x^3, z=40*x^2-500</a:t>
            </a:r>
          </a:p>
        </c:rich>
      </c:tx>
      <c:layout>
        <c:manualLayout>
          <c:xMode val="edge"/>
          <c:yMode val="edge"/>
          <c:x val="0.18445822397200351"/>
          <c:y val="2.5236593059936908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1"/>
          <c:order val="1"/>
          <c:marker>
            <c:symbol val="none"/>
          </c:marker>
          <c:val>
            <c:numRef>
              <c:f>график!$B$2:$B$22</c:f>
              <c:numCache>
                <c:formatCode>Основной</c:formatCode>
                <c:ptCount val="21"/>
                <c:pt idx="0">
                  <c:v>100</c:v>
                </c:pt>
                <c:pt idx="1">
                  <c:v>81</c:v>
                </c:pt>
                <c:pt idx="2">
                  <c:v>64</c:v>
                </c:pt>
                <c:pt idx="3">
                  <c:v>49</c:v>
                </c:pt>
                <c:pt idx="4">
                  <c:v>36</c:v>
                </c:pt>
                <c:pt idx="5">
                  <c:v>25</c:v>
                </c:pt>
                <c:pt idx="6">
                  <c:v>16</c:v>
                </c:pt>
                <c:pt idx="7">
                  <c:v>9</c:v>
                </c:pt>
                <c:pt idx="8">
                  <c:v>4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4</c:v>
                </c:pt>
                <c:pt idx="13">
                  <c:v>9</c:v>
                </c:pt>
                <c:pt idx="14">
                  <c:v>16</c:v>
                </c:pt>
                <c:pt idx="15">
                  <c:v>25</c:v>
                </c:pt>
                <c:pt idx="16">
                  <c:v>36</c:v>
                </c:pt>
                <c:pt idx="17">
                  <c:v>49</c:v>
                </c:pt>
                <c:pt idx="18">
                  <c:v>64</c:v>
                </c:pt>
                <c:pt idx="19">
                  <c:v>81</c:v>
                </c:pt>
                <c:pt idx="2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42-41BB-B70E-AEFF50291770}"/>
            </c:ext>
          </c:extLst>
        </c:ser>
        <c:ser>
          <c:idx val="2"/>
          <c:order val="2"/>
          <c:marker>
            <c:symbol val="none"/>
          </c:marker>
          <c:val>
            <c:numRef>
              <c:f>график!$G$2:$G$22</c:f>
              <c:numCache>
                <c:formatCode>Основной</c:formatCode>
                <c:ptCount val="21"/>
                <c:pt idx="0">
                  <c:v>3500</c:v>
                </c:pt>
                <c:pt idx="1">
                  <c:v>2740</c:v>
                </c:pt>
                <c:pt idx="2">
                  <c:v>2060</c:v>
                </c:pt>
                <c:pt idx="3">
                  <c:v>1460</c:v>
                </c:pt>
                <c:pt idx="4">
                  <c:v>940</c:v>
                </c:pt>
                <c:pt idx="5">
                  <c:v>500</c:v>
                </c:pt>
                <c:pt idx="6">
                  <c:v>140</c:v>
                </c:pt>
                <c:pt idx="7">
                  <c:v>-140</c:v>
                </c:pt>
                <c:pt idx="8">
                  <c:v>-340</c:v>
                </c:pt>
                <c:pt idx="9">
                  <c:v>-460</c:v>
                </c:pt>
                <c:pt idx="10">
                  <c:v>-500</c:v>
                </c:pt>
                <c:pt idx="11">
                  <c:v>-460</c:v>
                </c:pt>
                <c:pt idx="12">
                  <c:v>-340</c:v>
                </c:pt>
                <c:pt idx="13">
                  <c:v>-140</c:v>
                </c:pt>
                <c:pt idx="14">
                  <c:v>140</c:v>
                </c:pt>
                <c:pt idx="15">
                  <c:v>500</c:v>
                </c:pt>
                <c:pt idx="16">
                  <c:v>940</c:v>
                </c:pt>
                <c:pt idx="17">
                  <c:v>1460</c:v>
                </c:pt>
                <c:pt idx="18">
                  <c:v>2060</c:v>
                </c:pt>
                <c:pt idx="19">
                  <c:v>2740</c:v>
                </c:pt>
                <c:pt idx="20">
                  <c:v>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42-41BB-B70E-AEFF50291770}"/>
            </c:ext>
          </c:extLst>
        </c:ser>
        <c:ser>
          <c:idx val="0"/>
          <c:order val="0"/>
          <c:tx>
            <c:strRef>
              <c:f>график!$B$1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cat>
            <c:numRef>
              <c:f>график!$A$2:$A$22</c:f>
              <c:numCache>
                <c:formatCode>Основной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cat>
          <c:val>
            <c:numRef>
              <c:f>график!$B$2:$B$22</c:f>
              <c:numCache>
                <c:formatCode>Основной</c:formatCode>
                <c:ptCount val="21"/>
                <c:pt idx="0">
                  <c:v>100</c:v>
                </c:pt>
                <c:pt idx="1">
                  <c:v>81</c:v>
                </c:pt>
                <c:pt idx="2">
                  <c:v>64</c:v>
                </c:pt>
                <c:pt idx="3">
                  <c:v>49</c:v>
                </c:pt>
                <c:pt idx="4">
                  <c:v>36</c:v>
                </c:pt>
                <c:pt idx="5">
                  <c:v>25</c:v>
                </c:pt>
                <c:pt idx="6">
                  <c:v>16</c:v>
                </c:pt>
                <c:pt idx="7">
                  <c:v>9</c:v>
                </c:pt>
                <c:pt idx="8">
                  <c:v>4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4</c:v>
                </c:pt>
                <c:pt idx="13">
                  <c:v>9</c:v>
                </c:pt>
                <c:pt idx="14">
                  <c:v>16</c:v>
                </c:pt>
                <c:pt idx="15">
                  <c:v>25</c:v>
                </c:pt>
                <c:pt idx="16">
                  <c:v>36</c:v>
                </c:pt>
                <c:pt idx="17">
                  <c:v>49</c:v>
                </c:pt>
                <c:pt idx="18">
                  <c:v>64</c:v>
                </c:pt>
                <c:pt idx="19">
                  <c:v>81</c:v>
                </c:pt>
                <c:pt idx="2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42-41BB-B70E-AEFF50291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335360"/>
        <c:axId val="118336896"/>
      </c:lineChart>
      <c:catAx>
        <c:axId val="118335360"/>
        <c:scaling>
          <c:orientation val="minMax"/>
        </c:scaling>
        <c:delete val="0"/>
        <c:axPos val="b"/>
        <c:numFmt formatCode="Основной" sourceLinked="1"/>
        <c:majorTickMark val="out"/>
        <c:minorTickMark val="none"/>
        <c:tickLblPos val="nextTo"/>
        <c:crossAx val="118336896"/>
        <c:crosses val="autoZero"/>
        <c:auto val="1"/>
        <c:lblAlgn val="ctr"/>
        <c:lblOffset val="100"/>
        <c:noMultiLvlLbl val="0"/>
      </c:catAx>
      <c:valAx>
        <c:axId val="118336896"/>
        <c:scaling>
          <c:orientation val="minMax"/>
        </c:scaling>
        <c:delete val="0"/>
        <c:axPos val="l"/>
        <c:majorGridlines/>
        <c:numFmt formatCode="Основной" sourceLinked="1"/>
        <c:majorTickMark val="out"/>
        <c:minorTickMark val="none"/>
        <c:tickLblPos val="nextTo"/>
        <c:crossAx val="1183353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400050</xdr:colOff>
          <xdr:row>1</xdr:row>
          <xdr:rowOff>342900</xdr:rowOff>
        </xdr:from>
        <xdr:to>
          <xdr:col>8</xdr:col>
          <xdr:colOff>752475</xdr:colOff>
          <xdr:row>3</xdr:row>
          <xdr:rowOff>323850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762F3F14-1D4C-44C3-9460-5D55988352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Макрос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22</xdr:row>
      <xdr:rowOff>161925</xdr:rowOff>
    </xdr:from>
    <xdr:to>
      <xdr:col>7</xdr:col>
      <xdr:colOff>447675</xdr:colOff>
      <xdr:row>37</xdr:row>
      <xdr:rowOff>47625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485775</xdr:colOff>
      <xdr:row>5</xdr:row>
      <xdr:rowOff>57150</xdr:rowOff>
    </xdr:from>
    <xdr:to>
      <xdr:col>21</xdr:col>
      <xdr:colOff>180975</xdr:colOff>
      <xdr:row>21</xdr:row>
      <xdr:rowOff>28575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  <a:ext uri="{147F2762-F138-4A5C-976F-8EAC2B608ADB}">
              <a16:predDERef xmlns:a16="http://schemas.microsoft.com/office/drawing/2014/main" pre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17</xdr:col>
      <xdr:colOff>304800</xdr:colOff>
      <xdr:row>15</xdr:row>
      <xdr:rowOff>161925</xdr:rowOff>
    </xdr:from>
    <xdr:ext cx="908903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10668000" y="3019425"/>
          <a:ext cx="9089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ru-RU" sz="1100"/>
            <a:t>(3.58,</a:t>
          </a:r>
          <a:r>
            <a:rPr lang="ru-RU" sz="1100" baseline="0"/>
            <a:t> 12.82)</a:t>
          </a:r>
          <a:endParaRPr lang="ru-RU" sz="1100"/>
        </a:p>
      </xdr:txBody>
    </xdr:sp>
    <xdr:clientData/>
  </xdr:oneCellAnchor>
  <xdr:oneCellAnchor>
    <xdr:from>
      <xdr:col>15</xdr:col>
      <xdr:colOff>228600</xdr:colOff>
      <xdr:row>16</xdr:row>
      <xdr:rowOff>19050</xdr:rowOff>
    </xdr:from>
    <xdr:ext cx="952120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9372600" y="3067050"/>
          <a:ext cx="95212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ru-RU" sz="1100"/>
            <a:t>(-3.58, 12.</a:t>
          </a:r>
          <a:r>
            <a:rPr lang="ru-RU" sz="1100" baseline="0"/>
            <a:t>82)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304800</xdr:colOff>
          <xdr:row>5</xdr:row>
          <xdr:rowOff>123825</xdr:rowOff>
        </xdr:from>
        <xdr:to>
          <xdr:col>13</xdr:col>
          <xdr:colOff>323850</xdr:colOff>
          <xdr:row>10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91EEFCD5-3610-40E2-A4DA-F34152941A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Макрос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0.35</cdr:x>
      <cdr:y>0.58681</cdr:y>
    </cdr:from>
    <cdr:to>
      <cdr:x>0.55</cdr:x>
      <cdr:y>0.92014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600200" y="160972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0.42083</cdr:x>
      <cdr:y>0.75694</cdr:y>
    </cdr:from>
    <cdr:to>
      <cdr:x>0.51667</cdr:x>
      <cdr:y>0.85764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924050" y="2076450"/>
          <a:ext cx="438150" cy="2762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(0;</a:t>
          </a:r>
          <a:r>
            <a:rPr lang="en-US" sz="1100" baseline="0"/>
            <a:t> 0)</a:t>
          </a:r>
          <a:endParaRPr lang="ru-RU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0.35</cdr:x>
      <cdr:y>0.58681</cdr:y>
    </cdr:from>
    <cdr:to>
      <cdr:x>0.55</cdr:x>
      <cdr:y>0.92014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600200" y="1609725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123825</xdr:colOff>
          <xdr:row>1</xdr:row>
          <xdr:rowOff>161925</xdr:rowOff>
        </xdr:from>
        <xdr:to>
          <xdr:col>13</xdr:col>
          <xdr:colOff>238125</xdr:colOff>
          <xdr:row>7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6D5497F6-25D8-41A9-99A2-0860CB2913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Макрос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428625</xdr:colOff>
          <xdr:row>1</xdr:row>
          <xdr:rowOff>66675</xdr:rowOff>
        </xdr:from>
        <xdr:to>
          <xdr:col>4</xdr:col>
          <xdr:colOff>400050</xdr:colOff>
          <xdr:row>5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8A505AB2-BAC8-429E-B937-BA972824C6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График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419100</xdr:colOff>
          <xdr:row>6</xdr:row>
          <xdr:rowOff>123825</xdr:rowOff>
        </xdr:from>
        <xdr:to>
          <xdr:col>4</xdr:col>
          <xdr:colOff>419100</xdr:colOff>
          <xdr:row>11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6AF6C0A8-E329-476A-B96D-72164C7414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Подбор параметра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457200</xdr:colOff>
          <xdr:row>12</xdr:row>
          <xdr:rowOff>76200</xdr:rowOff>
        </xdr:from>
        <xdr:to>
          <xdr:col>4</xdr:col>
          <xdr:colOff>409575</xdr:colOff>
          <xdr:row>17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F7E59E72-6FB9-4A16-9265-3BE14C5AE9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Таблица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4528.809049421296" createdVersion="7" refreshedVersion="7" minRefreshableVersion="3" recordCount="30" xr:uid="{05F569A6-6517-4B13-BF9F-64C1FBCBD491}">
  <cacheSource type="worksheet">
    <worksheetSource ref="A1:F31" sheet="Сводная таблица"/>
  </cacheSource>
  <cacheFields count="6">
    <cacheField name="ID заказа" numFmtId="49">
      <sharedItems count="30">
        <s v="0001"/>
        <s v="0002"/>
        <s v="0003"/>
        <s v="0004"/>
        <s v="0005"/>
        <s v="0006"/>
        <s v="0007"/>
        <s v="0008"/>
        <s v="0009"/>
        <s v="0010"/>
        <s v="0011"/>
        <s v="0012"/>
        <s v="0013"/>
        <s v="0014"/>
        <s v="0015"/>
        <s v="0016"/>
        <s v="0017"/>
        <s v="0018"/>
        <s v="0019"/>
        <s v="0020"/>
        <s v="0021"/>
        <s v="0022"/>
        <s v="0023"/>
        <s v="0024"/>
        <s v="0025"/>
        <s v="0026"/>
        <s v="0027"/>
        <s v="0028"/>
        <s v="0029"/>
        <s v="0030"/>
      </sharedItems>
    </cacheField>
    <cacheField name="Дата выполнения" numFmtId="14">
      <sharedItems containsSemiMixedTypes="0" containsNonDate="0" containsDate="1" containsString="0" minDate="2007-01-05T00:00:00" maxDate="2007-02-04T00:00:00" count="30">
        <d v="2007-01-05T00:00:00"/>
        <d v="2007-01-06T00:00:00"/>
        <d v="2007-01-07T00:00:00"/>
        <d v="2007-01-08T00:00:00"/>
        <d v="2007-01-09T00:00:00"/>
        <d v="2007-01-10T00:00:00"/>
        <d v="2007-01-11T00:00:00"/>
        <d v="2007-01-12T00:00:00"/>
        <d v="2007-01-13T00:00:00"/>
        <d v="2007-01-14T00:00:00"/>
        <d v="2007-01-15T00:00:00"/>
        <d v="2007-01-16T00:00:00"/>
        <d v="2007-01-17T00:00:00"/>
        <d v="2007-01-18T00:00:00"/>
        <d v="2007-01-19T00:00:00"/>
        <d v="2007-01-20T00:00:00"/>
        <d v="2007-01-21T00:00:00"/>
        <d v="2007-01-22T00:00:00"/>
        <d v="2007-01-23T00:00:00"/>
        <d v="2007-01-24T00:00:00"/>
        <d v="2007-01-25T00:00:00"/>
        <d v="2007-01-26T00:00:00"/>
        <d v="2007-01-27T00:00:00"/>
        <d v="2007-01-28T00:00:00"/>
        <d v="2007-01-29T00:00:00"/>
        <d v="2007-01-30T00:00:00"/>
        <d v="2007-01-31T00:00:00"/>
        <d v="2007-02-01T00:00:00"/>
        <d v="2007-02-02T00:00:00"/>
        <d v="2007-02-03T00:00:00"/>
      </sharedItems>
    </cacheField>
    <cacheField name="студент" numFmtId="0">
      <sharedItems count="8">
        <s v="Рыков"/>
        <s v="Деточкин"/>
        <s v="Аванесов"/>
        <s v="Иванов"/>
        <s v="Петренко"/>
        <s v="Сидоров"/>
        <s v="Троекуров"/>
        <s v="Лосев"/>
      </sharedItems>
    </cacheField>
    <cacheField name="Наименование работы" numFmtId="0">
      <sharedItems count="4">
        <s v="Разработка алгоритма"/>
        <s v="Программирование"/>
        <s v="Тестирование ПО"/>
        <s v="Внедрение ПО"/>
      </sharedItems>
    </cacheField>
    <cacheField name="Город" numFmtId="0">
      <sharedItems count="5">
        <s v="Краснодар"/>
        <s v="Саратов"/>
        <s v="Иваново "/>
        <s v="Волгоград "/>
        <s v="Астрахань"/>
      </sharedItems>
    </cacheField>
    <cacheField name="Сумма" numFmtId="2">
      <sharedItems containsSemiMixedTypes="0" containsString="0" containsNumber="1" containsInteger="1" minValue="40" maxValue="400000" count="19">
        <n v="500"/>
        <n v="100"/>
        <n v="1150"/>
        <n v="1500"/>
        <n v="400000"/>
        <n v="40"/>
        <n v="3556"/>
        <n v="350"/>
        <n v="7770"/>
        <n v="4405"/>
        <n v="70000"/>
        <n v="303"/>
        <n v="2020"/>
        <n v="470"/>
        <n v="521"/>
        <n v="490"/>
        <n v="6900"/>
        <n v="300"/>
        <n v="26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ladis" refreshedDate="44559.480432060183" createdVersion="6" refreshedVersion="6" minRefreshableVersion="3" recordCount="30" xr:uid="{0A2C9CB1-EC98-49C8-AB23-7607C1A2BD6D}">
  <cacheSource type="worksheet">
    <worksheetSource ref="B1:F31" sheet="Сводная таблица"/>
  </cacheSource>
  <cacheFields count="5">
    <cacheField name="Дата выполнения" numFmtId="14">
      <sharedItems containsSemiMixedTypes="0" containsNonDate="0" containsDate="1" containsString="0" minDate="2007-01-05T00:00:00" maxDate="2007-02-04T00:00:00"/>
    </cacheField>
    <cacheField name="студент" numFmtId="0">
      <sharedItems count="8">
        <s v="Рыков"/>
        <s v="Деточкин"/>
        <s v="Аванесов"/>
        <s v="Иванов"/>
        <s v="Петренко"/>
        <s v="Сидоров"/>
        <s v="Троекуров"/>
        <s v="Лосев"/>
      </sharedItems>
    </cacheField>
    <cacheField name="Наименование работы" numFmtId="0">
      <sharedItems count="4">
        <s v="Разработка алгоритма"/>
        <s v="Программирование"/>
        <s v="Тестирование ПО"/>
        <s v="Внедрение ПО"/>
      </sharedItems>
    </cacheField>
    <cacheField name="Город" numFmtId="0">
      <sharedItems count="5">
        <s v="Краснодар"/>
        <s v="Саратов"/>
        <s v="Иваново "/>
        <s v="Волгоград "/>
        <s v="Астрахань"/>
      </sharedItems>
    </cacheField>
    <cacheField name="Сумма" numFmtId="2">
      <sharedItems containsSemiMixedTypes="0" containsString="0" containsNumber="1" containsInteger="1" minValue="40" maxValue="400000" count="19">
        <n v="500"/>
        <n v="100"/>
        <n v="1150"/>
        <n v="1500"/>
        <n v="400000"/>
        <n v="40"/>
        <n v="3556"/>
        <n v="350"/>
        <n v="7770"/>
        <n v="4405"/>
        <n v="70000"/>
        <n v="303"/>
        <n v="2020"/>
        <n v="470"/>
        <n v="521"/>
        <n v="490"/>
        <n v="6900"/>
        <n v="300"/>
        <n v="2600"/>
      </sharedItems>
    </cacheField>
  </cacheFields>
  <extLst>
    <ext xmlns:x14="http://schemas.microsoft.com/office/spreadsheetml/2009/9/main" uri="{725AE2AE-9491-48be-B2B4-4EB974FC3084}">
      <x14:pivotCacheDefinition pivotCacheId="108532270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x v="0"/>
    <x v="0"/>
    <x v="0"/>
    <x v="0"/>
  </r>
  <r>
    <x v="1"/>
    <x v="1"/>
    <x v="1"/>
    <x v="1"/>
    <x v="1"/>
    <x v="1"/>
  </r>
  <r>
    <x v="2"/>
    <x v="2"/>
    <x v="2"/>
    <x v="2"/>
    <x v="2"/>
    <x v="2"/>
  </r>
  <r>
    <x v="3"/>
    <x v="3"/>
    <x v="3"/>
    <x v="3"/>
    <x v="3"/>
    <x v="3"/>
  </r>
  <r>
    <x v="4"/>
    <x v="4"/>
    <x v="3"/>
    <x v="1"/>
    <x v="4"/>
    <x v="4"/>
  </r>
  <r>
    <x v="5"/>
    <x v="5"/>
    <x v="4"/>
    <x v="3"/>
    <x v="2"/>
    <x v="5"/>
  </r>
  <r>
    <x v="6"/>
    <x v="6"/>
    <x v="5"/>
    <x v="0"/>
    <x v="2"/>
    <x v="6"/>
  </r>
  <r>
    <x v="7"/>
    <x v="7"/>
    <x v="1"/>
    <x v="2"/>
    <x v="3"/>
    <x v="7"/>
  </r>
  <r>
    <x v="8"/>
    <x v="8"/>
    <x v="0"/>
    <x v="2"/>
    <x v="1"/>
    <x v="8"/>
  </r>
  <r>
    <x v="9"/>
    <x v="9"/>
    <x v="1"/>
    <x v="0"/>
    <x v="2"/>
    <x v="7"/>
  </r>
  <r>
    <x v="10"/>
    <x v="10"/>
    <x v="3"/>
    <x v="0"/>
    <x v="0"/>
    <x v="9"/>
  </r>
  <r>
    <x v="11"/>
    <x v="11"/>
    <x v="3"/>
    <x v="1"/>
    <x v="3"/>
    <x v="10"/>
  </r>
  <r>
    <x v="12"/>
    <x v="12"/>
    <x v="6"/>
    <x v="3"/>
    <x v="3"/>
    <x v="11"/>
  </r>
  <r>
    <x v="13"/>
    <x v="13"/>
    <x v="4"/>
    <x v="3"/>
    <x v="4"/>
    <x v="12"/>
  </r>
  <r>
    <x v="14"/>
    <x v="14"/>
    <x v="2"/>
    <x v="1"/>
    <x v="2"/>
    <x v="13"/>
  </r>
  <r>
    <x v="15"/>
    <x v="15"/>
    <x v="7"/>
    <x v="0"/>
    <x v="2"/>
    <x v="14"/>
  </r>
  <r>
    <x v="16"/>
    <x v="16"/>
    <x v="5"/>
    <x v="3"/>
    <x v="3"/>
    <x v="6"/>
  </r>
  <r>
    <x v="17"/>
    <x v="17"/>
    <x v="7"/>
    <x v="1"/>
    <x v="1"/>
    <x v="7"/>
  </r>
  <r>
    <x v="18"/>
    <x v="18"/>
    <x v="3"/>
    <x v="3"/>
    <x v="1"/>
    <x v="8"/>
  </r>
  <r>
    <x v="19"/>
    <x v="19"/>
    <x v="0"/>
    <x v="0"/>
    <x v="0"/>
    <x v="7"/>
  </r>
  <r>
    <x v="20"/>
    <x v="20"/>
    <x v="1"/>
    <x v="2"/>
    <x v="0"/>
    <x v="9"/>
  </r>
  <r>
    <x v="21"/>
    <x v="21"/>
    <x v="1"/>
    <x v="2"/>
    <x v="2"/>
    <x v="10"/>
  </r>
  <r>
    <x v="22"/>
    <x v="22"/>
    <x v="2"/>
    <x v="0"/>
    <x v="4"/>
    <x v="11"/>
  </r>
  <r>
    <x v="23"/>
    <x v="23"/>
    <x v="7"/>
    <x v="0"/>
    <x v="4"/>
    <x v="0"/>
  </r>
  <r>
    <x v="24"/>
    <x v="24"/>
    <x v="4"/>
    <x v="1"/>
    <x v="4"/>
    <x v="7"/>
  </r>
  <r>
    <x v="25"/>
    <x v="25"/>
    <x v="2"/>
    <x v="3"/>
    <x v="1"/>
    <x v="15"/>
  </r>
  <r>
    <x v="26"/>
    <x v="26"/>
    <x v="4"/>
    <x v="1"/>
    <x v="0"/>
    <x v="16"/>
  </r>
  <r>
    <x v="27"/>
    <x v="27"/>
    <x v="3"/>
    <x v="0"/>
    <x v="3"/>
    <x v="17"/>
  </r>
  <r>
    <x v="28"/>
    <x v="28"/>
    <x v="0"/>
    <x v="3"/>
    <x v="3"/>
    <x v="18"/>
  </r>
  <r>
    <x v="29"/>
    <x v="29"/>
    <x v="7"/>
    <x v="1"/>
    <x v="3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d v="2007-01-05T00:00:00"/>
    <x v="0"/>
    <x v="0"/>
    <x v="0"/>
    <x v="0"/>
  </r>
  <r>
    <d v="2007-01-06T00:00:00"/>
    <x v="1"/>
    <x v="1"/>
    <x v="1"/>
    <x v="1"/>
  </r>
  <r>
    <d v="2007-01-07T00:00:00"/>
    <x v="2"/>
    <x v="2"/>
    <x v="2"/>
    <x v="2"/>
  </r>
  <r>
    <d v="2007-01-08T00:00:00"/>
    <x v="3"/>
    <x v="3"/>
    <x v="3"/>
    <x v="3"/>
  </r>
  <r>
    <d v="2007-01-09T00:00:00"/>
    <x v="3"/>
    <x v="1"/>
    <x v="4"/>
    <x v="4"/>
  </r>
  <r>
    <d v="2007-01-10T00:00:00"/>
    <x v="4"/>
    <x v="3"/>
    <x v="2"/>
    <x v="5"/>
  </r>
  <r>
    <d v="2007-01-11T00:00:00"/>
    <x v="5"/>
    <x v="0"/>
    <x v="2"/>
    <x v="6"/>
  </r>
  <r>
    <d v="2007-01-12T00:00:00"/>
    <x v="1"/>
    <x v="2"/>
    <x v="3"/>
    <x v="7"/>
  </r>
  <r>
    <d v="2007-01-13T00:00:00"/>
    <x v="0"/>
    <x v="2"/>
    <x v="1"/>
    <x v="8"/>
  </r>
  <r>
    <d v="2007-01-14T00:00:00"/>
    <x v="1"/>
    <x v="0"/>
    <x v="2"/>
    <x v="7"/>
  </r>
  <r>
    <d v="2007-01-15T00:00:00"/>
    <x v="3"/>
    <x v="0"/>
    <x v="0"/>
    <x v="9"/>
  </r>
  <r>
    <d v="2007-01-16T00:00:00"/>
    <x v="3"/>
    <x v="1"/>
    <x v="3"/>
    <x v="10"/>
  </r>
  <r>
    <d v="2007-01-17T00:00:00"/>
    <x v="6"/>
    <x v="3"/>
    <x v="3"/>
    <x v="11"/>
  </r>
  <r>
    <d v="2007-01-18T00:00:00"/>
    <x v="4"/>
    <x v="3"/>
    <x v="4"/>
    <x v="12"/>
  </r>
  <r>
    <d v="2007-01-19T00:00:00"/>
    <x v="2"/>
    <x v="1"/>
    <x v="2"/>
    <x v="13"/>
  </r>
  <r>
    <d v="2007-01-20T00:00:00"/>
    <x v="7"/>
    <x v="0"/>
    <x v="2"/>
    <x v="14"/>
  </r>
  <r>
    <d v="2007-01-21T00:00:00"/>
    <x v="5"/>
    <x v="3"/>
    <x v="3"/>
    <x v="6"/>
  </r>
  <r>
    <d v="2007-01-22T00:00:00"/>
    <x v="7"/>
    <x v="1"/>
    <x v="1"/>
    <x v="7"/>
  </r>
  <r>
    <d v="2007-01-23T00:00:00"/>
    <x v="3"/>
    <x v="3"/>
    <x v="1"/>
    <x v="8"/>
  </r>
  <r>
    <d v="2007-01-24T00:00:00"/>
    <x v="0"/>
    <x v="0"/>
    <x v="0"/>
    <x v="7"/>
  </r>
  <r>
    <d v="2007-01-25T00:00:00"/>
    <x v="1"/>
    <x v="2"/>
    <x v="0"/>
    <x v="9"/>
  </r>
  <r>
    <d v="2007-01-26T00:00:00"/>
    <x v="1"/>
    <x v="2"/>
    <x v="2"/>
    <x v="10"/>
  </r>
  <r>
    <d v="2007-01-27T00:00:00"/>
    <x v="2"/>
    <x v="0"/>
    <x v="4"/>
    <x v="11"/>
  </r>
  <r>
    <d v="2007-01-28T00:00:00"/>
    <x v="7"/>
    <x v="0"/>
    <x v="4"/>
    <x v="0"/>
  </r>
  <r>
    <d v="2007-01-29T00:00:00"/>
    <x v="4"/>
    <x v="1"/>
    <x v="4"/>
    <x v="7"/>
  </r>
  <r>
    <d v="2007-01-30T00:00:00"/>
    <x v="2"/>
    <x v="3"/>
    <x v="1"/>
    <x v="15"/>
  </r>
  <r>
    <d v="2007-01-31T00:00:00"/>
    <x v="4"/>
    <x v="1"/>
    <x v="0"/>
    <x v="16"/>
  </r>
  <r>
    <d v="2007-02-01T00:00:00"/>
    <x v="3"/>
    <x v="0"/>
    <x v="3"/>
    <x v="17"/>
  </r>
  <r>
    <d v="2007-02-02T00:00:00"/>
    <x v="0"/>
    <x v="3"/>
    <x v="3"/>
    <x v="18"/>
  </r>
  <r>
    <d v="2007-02-03T00:00:00"/>
    <x v="7"/>
    <x v="1"/>
    <x v="3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67F690-A548-476A-A9E0-C33321AFB1F5}" name="Сводная таблица11" cacheId="23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K27:M56" firstHeaderRow="1" firstDataRow="1" firstDataCol="2"/>
  <pivotFields count="5">
    <pivotField numFmtId="14" showAll="0"/>
    <pivotField axis="axisRow" compact="0" showAll="0">
      <items count="9">
        <item x="2"/>
        <item x="1"/>
        <item x="3"/>
        <item x="7"/>
        <item x="4"/>
        <item x="0"/>
        <item x="5"/>
        <item x="6"/>
        <item t="default"/>
      </items>
    </pivotField>
    <pivotField axis="axisRow" showAll="0">
      <items count="5">
        <item x="3"/>
        <item x="1"/>
        <item x="0"/>
        <item x="2"/>
        <item t="default"/>
      </items>
    </pivotField>
    <pivotField showAll="0"/>
    <pivotField dataField="1" numFmtId="2" showAll="0"/>
  </pivotFields>
  <rowFields count="2">
    <field x="1"/>
    <field x="2"/>
  </rowFields>
  <rowItems count="29">
    <i>
      <x/>
    </i>
    <i r="1">
      <x/>
    </i>
    <i r="1">
      <x v="1"/>
    </i>
    <i r="1">
      <x v="2"/>
    </i>
    <i r="1">
      <x v="3"/>
    </i>
    <i>
      <x v="1"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>
      <x v="3"/>
    </i>
    <i r="1">
      <x v="1"/>
    </i>
    <i r="1">
      <x v="2"/>
    </i>
    <i>
      <x v="4"/>
    </i>
    <i r="1">
      <x/>
    </i>
    <i r="1">
      <x v="1"/>
    </i>
    <i>
      <x v="5"/>
    </i>
    <i r="1">
      <x/>
    </i>
    <i r="1">
      <x v="2"/>
    </i>
    <i r="1">
      <x v="3"/>
    </i>
    <i>
      <x v="6"/>
    </i>
    <i r="1">
      <x/>
    </i>
    <i r="1">
      <x v="2"/>
    </i>
    <i>
      <x v="7"/>
    </i>
    <i r="1">
      <x/>
    </i>
    <i t="grand">
      <x/>
    </i>
  </rowItems>
  <colItems count="1">
    <i/>
  </colItems>
  <dataFields count="1">
    <dataField name="Сумма по полю Сумма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890CE2-D709-4778-9B42-A83092626007}" name="Сводная таблица10" cacheId="23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K1:T7" firstHeaderRow="1" firstDataRow="2" firstDataCol="1"/>
  <pivotFields count="5">
    <pivotField numFmtId="14" showAll="0"/>
    <pivotField axis="axisCol" showAll="0">
      <items count="9">
        <item x="2"/>
        <item x="1"/>
        <item x="3"/>
        <item x="7"/>
        <item x="4"/>
        <item x="0"/>
        <item x="5"/>
        <item x="6"/>
        <item t="default"/>
      </items>
    </pivotField>
    <pivotField axis="axisRow" showAll="0">
      <items count="5">
        <item x="3"/>
        <item x="1"/>
        <item x="0"/>
        <item x="2"/>
        <item t="default"/>
      </items>
    </pivotField>
    <pivotField showAll="0"/>
    <pivotField dataField="1" numFmtId="2" showAll="0">
      <items count="20">
        <item x="5"/>
        <item x="1"/>
        <item x="17"/>
        <item x="11"/>
        <item x="7"/>
        <item x="13"/>
        <item x="15"/>
        <item x="0"/>
        <item x="14"/>
        <item x="2"/>
        <item x="3"/>
        <item x="12"/>
        <item x="18"/>
        <item x="6"/>
        <item x="9"/>
        <item x="16"/>
        <item x="8"/>
        <item x="10"/>
        <item x="4"/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Сумма по полю Сумма" fld="4" showDataAs="percentOfTotal" baseField="2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6122ED-14EE-4578-8CD6-45130BC7C89F}" name="Сводная таблица9" cacheId="23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H1:J30" firstHeaderRow="1" firstDataRow="1" firstDataCol="2"/>
  <pivotFields count="5">
    <pivotField numFmtId="14" showAll="0"/>
    <pivotField axis="axisRow" compact="0" showAll="0">
      <items count="9">
        <item x="2"/>
        <item x="1"/>
        <item x="3"/>
        <item x="7"/>
        <item x="4"/>
        <item x="0"/>
        <item x="5"/>
        <item x="6"/>
        <item t="default"/>
      </items>
    </pivotField>
    <pivotField axis="axisRow" compact="0" showAll="0">
      <items count="5">
        <item x="3"/>
        <item x="1"/>
        <item x="0"/>
        <item x="2"/>
        <item t="default"/>
      </items>
    </pivotField>
    <pivotField showAll="0">
      <items count="6">
        <item x="4"/>
        <item x="3"/>
        <item x="2"/>
        <item x="0"/>
        <item x="1"/>
        <item t="default"/>
      </items>
    </pivotField>
    <pivotField dataField="1" numFmtId="2" showAll="0"/>
  </pivotFields>
  <rowFields count="2">
    <field x="1"/>
    <field x="2"/>
  </rowFields>
  <rowItems count="29">
    <i>
      <x/>
    </i>
    <i r="1">
      <x/>
    </i>
    <i r="1">
      <x v="1"/>
    </i>
    <i r="1">
      <x v="2"/>
    </i>
    <i r="1">
      <x v="3"/>
    </i>
    <i>
      <x v="1"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>
      <x v="3"/>
    </i>
    <i r="1">
      <x v="1"/>
    </i>
    <i r="1">
      <x v="2"/>
    </i>
    <i>
      <x v="4"/>
    </i>
    <i r="1">
      <x/>
    </i>
    <i r="1">
      <x v="1"/>
    </i>
    <i>
      <x v="5"/>
    </i>
    <i r="1">
      <x/>
    </i>
    <i r="1">
      <x v="2"/>
    </i>
    <i r="1">
      <x v="3"/>
    </i>
    <i>
      <x v="6"/>
    </i>
    <i r="1">
      <x/>
    </i>
    <i r="1">
      <x v="2"/>
    </i>
    <i>
      <x v="7"/>
    </i>
    <i r="1">
      <x/>
    </i>
    <i t="grand">
      <x/>
    </i>
  </rowItems>
  <colItems count="1">
    <i/>
  </colItems>
  <dataFields count="1">
    <dataField name="Сумма по полю Сумма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7D035F7-F731-4769-AA84-7CFBFA5DCD0E}" name="Сводная таблица3" cacheId="0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compact="0" compactData="0" multipleFieldFilters="0">
  <location ref="X1:BD32" firstHeaderRow="1" firstDataRow="2" firstDataCol="2"/>
  <pivotFields count="6">
    <pivotField compact="0" outline="0" showAl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axis="axisCol" compact="0" numFmtId="14" outline="0" showAll="0">
      <items count="3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t="default"/>
      </items>
    </pivotField>
    <pivotField axis="axisRow" compact="0" outline="0" showAll="0">
      <items count="9">
        <item x="2"/>
        <item x="1"/>
        <item x="3"/>
        <item x="7"/>
        <item x="4"/>
        <item x="0"/>
        <item x="5"/>
        <item x="6"/>
        <item t="default"/>
      </items>
    </pivotField>
    <pivotField compact="0" outline="0" showAll="0"/>
    <pivotField axis="axisRow" compact="0" outline="0" showAll="0">
      <items count="6">
        <item x="4"/>
        <item x="3"/>
        <item x="2"/>
        <item x="0"/>
        <item x="1"/>
        <item t="default"/>
      </items>
    </pivotField>
    <pivotField dataField="1" compact="0" numFmtId="2" outline="0" showAll="0"/>
  </pivotFields>
  <rowFields count="2">
    <field x="4"/>
    <field x="2"/>
  </rowFields>
  <rowItems count="30">
    <i>
      <x/>
      <x/>
    </i>
    <i r="1">
      <x v="2"/>
    </i>
    <i r="1">
      <x v="3"/>
    </i>
    <i r="1">
      <x v="4"/>
    </i>
    <i t="default">
      <x/>
    </i>
    <i>
      <x v="1"/>
      <x v="1"/>
    </i>
    <i r="1">
      <x v="2"/>
    </i>
    <i r="1">
      <x v="3"/>
    </i>
    <i r="1">
      <x v="5"/>
    </i>
    <i r="1">
      <x v="6"/>
    </i>
    <i r="1">
      <x v="7"/>
    </i>
    <i t="default">
      <x v="1"/>
    </i>
    <i>
      <x v="2"/>
      <x/>
    </i>
    <i r="1">
      <x v="1"/>
    </i>
    <i r="1">
      <x v="3"/>
    </i>
    <i r="1">
      <x v="4"/>
    </i>
    <i r="1">
      <x v="6"/>
    </i>
    <i t="default">
      <x v="2"/>
    </i>
    <i>
      <x v="3"/>
      <x v="1"/>
    </i>
    <i r="1">
      <x v="2"/>
    </i>
    <i r="1">
      <x v="4"/>
    </i>
    <i r="1">
      <x v="5"/>
    </i>
    <i t="default">
      <x v="3"/>
    </i>
    <i>
      <x v="4"/>
      <x/>
    </i>
    <i r="1">
      <x v="1"/>
    </i>
    <i r="1">
      <x v="2"/>
    </i>
    <i r="1">
      <x v="3"/>
    </i>
    <i r="1">
      <x v="5"/>
    </i>
    <i t="default">
      <x v="4"/>
    </i>
    <i t="grand">
      <x/>
    </i>
  </rowItems>
  <colFields count="1">
    <field x="1"/>
  </colFields>
  <col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 t="grand">
      <x/>
    </i>
  </colItems>
  <dataFields count="1">
    <dataField name="Количество по полю Сумма" fld="5" subtotal="count" baseField="0" baseItem="0"/>
  </dataFields>
  <formats count="3">
    <format dxfId="2">
      <pivotArea dataOnly="0" labelOnly="1" outline="0" fieldPosition="0">
        <references count="1">
          <reference field="1" count="0"/>
        </references>
      </pivotArea>
    </format>
    <format dxfId="1">
      <pivotArea dataOnly="0" labelOnly="1" grandCol="1" outline="0" fieldPosition="0"/>
    </format>
    <format dxfId="0">
      <pivotArea dataOnly="0" labelOnly="1" outline="0" fieldPosition="0">
        <references count="1">
          <reference field="1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34"/>
  <sheetViews>
    <sheetView workbookViewId="0">
      <selection activeCell="I5" sqref="I5"/>
    </sheetView>
  </sheetViews>
  <sheetFormatPr defaultRowHeight="15" x14ac:dyDescent="0.25"/>
  <cols>
    <col min="1" max="1" width="3.42578125" customWidth="1"/>
    <col min="2" max="2" width="26.140625" customWidth="1"/>
    <col min="3" max="3" width="8.7109375" customWidth="1"/>
    <col min="4" max="4" width="23" customWidth="1"/>
    <col min="5" max="5" width="15.85546875" customWidth="1"/>
    <col min="6" max="6" width="12.42578125" customWidth="1"/>
    <col min="8" max="8" width="12" customWidth="1"/>
    <col min="9" max="9" width="12.85546875" customWidth="1"/>
    <col min="10" max="10" width="10.85546875" customWidth="1"/>
    <col min="12" max="12" width="11.28515625" customWidth="1"/>
  </cols>
  <sheetData>
    <row r="1" spans="1:12" x14ac:dyDescent="0.25">
      <c r="B1" s="1" t="s">
        <v>0</v>
      </c>
      <c r="C1" s="1" t="s">
        <v>1</v>
      </c>
      <c r="D1" s="1" t="s">
        <v>2</v>
      </c>
    </row>
    <row r="2" spans="1:12" ht="35.25" customHeight="1" x14ac:dyDescent="0.25">
      <c r="B2" s="2" t="s">
        <v>3</v>
      </c>
      <c r="C2" s="1">
        <v>50</v>
      </c>
      <c r="D2" s="2" t="s">
        <v>4</v>
      </c>
    </row>
    <row r="3" spans="1:12" ht="42" customHeight="1" x14ac:dyDescent="0.25">
      <c r="B3" s="2" t="s">
        <v>5</v>
      </c>
      <c r="C3" s="1">
        <v>30</v>
      </c>
      <c r="D3" s="2" t="s">
        <v>4</v>
      </c>
    </row>
    <row r="4" spans="1:12" ht="57" customHeight="1" x14ac:dyDescent="0.25">
      <c r="B4" s="2" t="s">
        <v>5</v>
      </c>
      <c r="C4" s="1">
        <v>20</v>
      </c>
      <c r="D4" s="2" t="s">
        <v>4</v>
      </c>
    </row>
    <row r="5" spans="1:12" ht="36" customHeight="1" x14ac:dyDescent="0.25">
      <c r="B5" s="2" t="s">
        <v>6</v>
      </c>
      <c r="C5" s="1">
        <v>5</v>
      </c>
      <c r="D5" s="2" t="s">
        <v>4</v>
      </c>
    </row>
    <row r="6" spans="1:12" ht="39.75" customHeight="1" x14ac:dyDescent="0.25">
      <c r="B6" s="2" t="s">
        <v>7</v>
      </c>
      <c r="C6" s="1">
        <v>300</v>
      </c>
      <c r="D6" s="2" t="s">
        <v>8</v>
      </c>
    </row>
    <row r="7" spans="1:12" ht="43.5" customHeight="1" x14ac:dyDescent="0.25">
      <c r="B7" s="2" t="s">
        <v>9</v>
      </c>
      <c r="C7" s="1">
        <v>100</v>
      </c>
      <c r="D7" s="2" t="s">
        <v>8</v>
      </c>
      <c r="E7">
        <f>SUM(J11:J20)</f>
        <v>7850</v>
      </c>
    </row>
    <row r="10" spans="1:12" ht="51" customHeight="1" x14ac:dyDescent="0.25">
      <c r="A10" s="2" t="s">
        <v>10</v>
      </c>
      <c r="B10" s="3" t="s">
        <v>11</v>
      </c>
      <c r="C10" s="3" t="s">
        <v>12</v>
      </c>
      <c r="D10" s="3" t="s">
        <v>13</v>
      </c>
      <c r="E10" s="3" t="s">
        <v>14</v>
      </c>
      <c r="F10" s="3" t="s">
        <v>15</v>
      </c>
      <c r="G10" s="3" t="s">
        <v>16</v>
      </c>
      <c r="H10" s="3" t="s">
        <v>17</v>
      </c>
      <c r="I10" s="3" t="s">
        <v>18</v>
      </c>
      <c r="J10" s="3" t="s">
        <v>19</v>
      </c>
      <c r="K10" s="3" t="s">
        <v>20</v>
      </c>
      <c r="L10" s="3" t="s">
        <v>21</v>
      </c>
    </row>
    <row r="11" spans="1:12" x14ac:dyDescent="0.25">
      <c r="A11" s="1">
        <v>1</v>
      </c>
      <c r="B11" s="2" t="s">
        <v>22</v>
      </c>
      <c r="C11" s="1">
        <v>3500</v>
      </c>
      <c r="D11" s="1">
        <v>0</v>
      </c>
      <c r="E11" s="1">
        <f>C11-D11</f>
        <v>3500</v>
      </c>
      <c r="F11" s="1">
        <v>1</v>
      </c>
      <c r="G11" s="1">
        <v>0</v>
      </c>
      <c r="H11" s="1">
        <f>IF(D11&gt;=6000, D11/2, IF(AND(D11&lt;6000, D11&gt;=3000,  F11&gt;2),  D11*3/10, IF(AND(D11&lt;6000, D11&gt;=3000, OR(F11=2, F11 = 1)), D11*2/10, 0)))</f>
        <v>0</v>
      </c>
      <c r="I11" s="1">
        <f>IF(E11&gt;=5000, IF(300*G11&lt;=E11, 300*G11, E11 ),  IF(E11&lt;5000, IF(100*G11&lt;=E11, 100*G11, E11 )))</f>
        <v>0</v>
      </c>
      <c r="J11" s="1">
        <f>H11+I11</f>
        <v>0</v>
      </c>
      <c r="K11" s="1">
        <f>C11-J11</f>
        <v>3500</v>
      </c>
      <c r="L11" s="4">
        <f>FLOOR(K11/500,1)</f>
        <v>7</v>
      </c>
    </row>
    <row r="12" spans="1:12" x14ac:dyDescent="0.25">
      <c r="A12" s="1">
        <v>2</v>
      </c>
      <c r="B12" s="2" t="s">
        <v>23</v>
      </c>
      <c r="C12" s="1">
        <v>11000</v>
      </c>
      <c r="D12" s="1">
        <v>6300</v>
      </c>
      <c r="E12" s="1">
        <f t="shared" ref="E12:E20" si="0">C12-D12</f>
        <v>4700</v>
      </c>
      <c r="F12" s="1">
        <v>3</v>
      </c>
      <c r="G12" s="1">
        <v>9</v>
      </c>
      <c r="H12" s="1">
        <f t="shared" ref="H12:H20" si="1">IF(D12&gt;=6000, D12/2, IF(AND(D12&lt;6000, D12&gt;=3000,  F12&gt;2),  D12*3/10, IF(AND(D12&lt;6000, D12&gt;=3000, OR(F12=2, F12 = 1)), D12*2/10, 0)))</f>
        <v>3150</v>
      </c>
      <c r="I12" s="1">
        <f t="shared" ref="I12:I20" si="2">IF(E12&gt;=5000, IF(300*G12&lt;=E12, 300*G12, E12 ),  IF(E12&lt;5000, IF(100*G12&lt;=E12, 100*G12, E12 )))</f>
        <v>900</v>
      </c>
      <c r="J12" s="1">
        <f t="shared" ref="J12:J20" si="3">H12+I12</f>
        <v>4050</v>
      </c>
      <c r="K12" s="1">
        <f t="shared" ref="K12:K20" si="4">C12-J12</f>
        <v>6950</v>
      </c>
      <c r="L12" s="4">
        <f t="shared" ref="L12:L20" si="5">FLOOR(K12/500,1)</f>
        <v>13</v>
      </c>
    </row>
    <row r="13" spans="1:12" x14ac:dyDescent="0.25">
      <c r="A13" s="1">
        <v>3</v>
      </c>
      <c r="B13" s="2" t="s">
        <v>24</v>
      </c>
      <c r="C13" s="1">
        <v>10350</v>
      </c>
      <c r="D13" s="1">
        <v>520</v>
      </c>
      <c r="E13" s="1">
        <f t="shared" si="0"/>
        <v>9830</v>
      </c>
      <c r="F13" s="1">
        <v>0</v>
      </c>
      <c r="G13" s="1">
        <v>3</v>
      </c>
      <c r="H13" s="1">
        <f t="shared" si="1"/>
        <v>0</v>
      </c>
      <c r="I13" s="1">
        <f t="shared" si="2"/>
        <v>900</v>
      </c>
      <c r="J13" s="1">
        <f t="shared" si="3"/>
        <v>900</v>
      </c>
      <c r="K13" s="1">
        <f t="shared" si="4"/>
        <v>9450</v>
      </c>
      <c r="L13" s="4">
        <f t="shared" si="5"/>
        <v>18</v>
      </c>
    </row>
    <row r="14" spans="1:12" x14ac:dyDescent="0.25">
      <c r="A14" s="1">
        <v>4</v>
      </c>
      <c r="B14" s="2" t="s">
        <v>25</v>
      </c>
      <c r="C14" s="1">
        <v>7500</v>
      </c>
      <c r="D14" s="1">
        <v>0</v>
      </c>
      <c r="E14" s="1">
        <f t="shared" si="0"/>
        <v>7500</v>
      </c>
      <c r="F14" s="1">
        <v>0</v>
      </c>
      <c r="G14" s="1">
        <v>5</v>
      </c>
      <c r="H14" s="1">
        <f t="shared" si="1"/>
        <v>0</v>
      </c>
      <c r="I14" s="1">
        <f t="shared" si="2"/>
        <v>1500</v>
      </c>
      <c r="J14" s="1">
        <f t="shared" si="3"/>
        <v>1500</v>
      </c>
      <c r="K14" s="1">
        <f t="shared" si="4"/>
        <v>6000</v>
      </c>
      <c r="L14" s="4">
        <f t="shared" si="5"/>
        <v>12</v>
      </c>
    </row>
    <row r="15" spans="1:12" x14ac:dyDescent="0.25">
      <c r="A15" s="1">
        <v>5</v>
      </c>
      <c r="B15" s="2" t="s">
        <v>26</v>
      </c>
      <c r="C15" s="1">
        <v>590</v>
      </c>
      <c r="D15" s="1">
        <v>590</v>
      </c>
      <c r="E15" s="1">
        <f t="shared" si="0"/>
        <v>0</v>
      </c>
      <c r="F15" s="1">
        <v>0</v>
      </c>
      <c r="G15" s="1">
        <v>3</v>
      </c>
      <c r="H15" s="1">
        <f t="shared" si="1"/>
        <v>0</v>
      </c>
      <c r="I15" s="1">
        <f t="shared" si="2"/>
        <v>0</v>
      </c>
      <c r="J15" s="1">
        <f t="shared" si="3"/>
        <v>0</v>
      </c>
      <c r="K15" s="1">
        <f t="shared" si="4"/>
        <v>590</v>
      </c>
      <c r="L15" s="4">
        <f t="shared" si="5"/>
        <v>1</v>
      </c>
    </row>
    <row r="16" spans="1:12" x14ac:dyDescent="0.25">
      <c r="A16" s="1">
        <v>6</v>
      </c>
      <c r="B16" s="2" t="s">
        <v>27</v>
      </c>
      <c r="C16" s="1">
        <v>3020</v>
      </c>
      <c r="D16" s="1">
        <v>1020</v>
      </c>
      <c r="E16" s="1">
        <f t="shared" si="0"/>
        <v>2000</v>
      </c>
      <c r="F16" s="1">
        <v>5</v>
      </c>
      <c r="G16" s="1">
        <v>1</v>
      </c>
      <c r="H16" s="1">
        <f t="shared" si="1"/>
        <v>0</v>
      </c>
      <c r="I16" s="1">
        <f t="shared" si="2"/>
        <v>100</v>
      </c>
      <c r="J16" s="1">
        <f t="shared" si="3"/>
        <v>100</v>
      </c>
      <c r="K16" s="1">
        <f t="shared" si="4"/>
        <v>2920</v>
      </c>
      <c r="L16" s="4">
        <f t="shared" si="5"/>
        <v>5</v>
      </c>
    </row>
    <row r="17" spans="1:12" x14ac:dyDescent="0.25">
      <c r="A17" s="1">
        <v>7</v>
      </c>
      <c r="B17" s="2" t="s">
        <v>28</v>
      </c>
      <c r="C17" s="1">
        <v>1700</v>
      </c>
      <c r="D17" s="1">
        <v>300</v>
      </c>
      <c r="E17" s="1">
        <f t="shared" si="0"/>
        <v>1400</v>
      </c>
      <c r="F17" s="1">
        <v>2</v>
      </c>
      <c r="G17" s="1">
        <v>0</v>
      </c>
      <c r="H17" s="1">
        <f t="shared" si="1"/>
        <v>0</v>
      </c>
      <c r="I17" s="1">
        <f t="shared" si="2"/>
        <v>0</v>
      </c>
      <c r="J17" s="1">
        <f t="shared" si="3"/>
        <v>0</v>
      </c>
      <c r="K17" s="1">
        <f t="shared" si="4"/>
        <v>1700</v>
      </c>
      <c r="L17" s="4">
        <f t="shared" si="5"/>
        <v>3</v>
      </c>
    </row>
    <row r="18" spans="1:12" x14ac:dyDescent="0.25">
      <c r="A18" s="1">
        <v>8</v>
      </c>
      <c r="B18" s="2" t="s">
        <v>29</v>
      </c>
      <c r="C18" s="1">
        <v>10600</v>
      </c>
      <c r="D18" s="1">
        <v>2500</v>
      </c>
      <c r="E18" s="1">
        <f t="shared" si="0"/>
        <v>8100</v>
      </c>
      <c r="F18" s="1">
        <v>3</v>
      </c>
      <c r="G18" s="1">
        <v>2</v>
      </c>
      <c r="H18" s="1">
        <f t="shared" si="1"/>
        <v>0</v>
      </c>
      <c r="I18" s="1">
        <f t="shared" si="2"/>
        <v>600</v>
      </c>
      <c r="J18" s="1">
        <f t="shared" si="3"/>
        <v>600</v>
      </c>
      <c r="K18" s="1">
        <f t="shared" si="4"/>
        <v>10000</v>
      </c>
      <c r="L18" s="4">
        <f t="shared" si="5"/>
        <v>20</v>
      </c>
    </row>
    <row r="19" spans="1:12" x14ac:dyDescent="0.25">
      <c r="A19" s="1">
        <v>9</v>
      </c>
      <c r="B19" s="2" t="s">
        <v>30</v>
      </c>
      <c r="C19" s="1">
        <v>400</v>
      </c>
      <c r="D19" s="1">
        <v>0</v>
      </c>
      <c r="E19" s="1">
        <f t="shared" si="0"/>
        <v>400</v>
      </c>
      <c r="F19" s="1">
        <v>0</v>
      </c>
      <c r="G19" s="1">
        <v>10</v>
      </c>
      <c r="H19" s="1">
        <f t="shared" si="1"/>
        <v>0</v>
      </c>
      <c r="I19" s="1">
        <f t="shared" si="2"/>
        <v>400</v>
      </c>
      <c r="J19" s="1">
        <f t="shared" si="3"/>
        <v>400</v>
      </c>
      <c r="K19" s="1">
        <f t="shared" si="4"/>
        <v>0</v>
      </c>
      <c r="L19" s="4">
        <f t="shared" si="5"/>
        <v>0</v>
      </c>
    </row>
    <row r="20" spans="1:12" x14ac:dyDescent="0.25">
      <c r="A20" s="1">
        <v>10</v>
      </c>
      <c r="B20" s="2" t="s">
        <v>31</v>
      </c>
      <c r="C20" s="1">
        <v>6740</v>
      </c>
      <c r="D20" s="1">
        <v>740</v>
      </c>
      <c r="E20" s="1">
        <f t="shared" si="0"/>
        <v>6000</v>
      </c>
      <c r="F20" s="1">
        <v>2</v>
      </c>
      <c r="G20" s="1">
        <v>1</v>
      </c>
      <c r="H20" s="1">
        <f t="shared" si="1"/>
        <v>0</v>
      </c>
      <c r="I20" s="1">
        <f t="shared" si="2"/>
        <v>300</v>
      </c>
      <c r="J20" s="1">
        <f t="shared" si="3"/>
        <v>300</v>
      </c>
      <c r="K20" s="1">
        <f t="shared" si="4"/>
        <v>6440</v>
      </c>
      <c r="L20" s="4">
        <f t="shared" si="5"/>
        <v>12</v>
      </c>
    </row>
    <row r="22" spans="1:12" x14ac:dyDescent="0.25">
      <c r="A22" s="1"/>
      <c r="B22" s="2" t="s">
        <v>32</v>
      </c>
      <c r="C22" s="1">
        <f t="shared" ref="C22:L22" si="6">SUM(C11:C20)</f>
        <v>55400</v>
      </c>
      <c r="D22" s="1">
        <f t="shared" si="6"/>
        <v>11970</v>
      </c>
      <c r="E22" s="1">
        <f t="shared" si="6"/>
        <v>43430</v>
      </c>
      <c r="F22" s="1">
        <f t="shared" si="6"/>
        <v>16</v>
      </c>
      <c r="G22" s="1">
        <f t="shared" si="6"/>
        <v>34</v>
      </c>
      <c r="H22" s="1">
        <f t="shared" si="6"/>
        <v>3150</v>
      </c>
      <c r="I22" s="1">
        <f t="shared" si="6"/>
        <v>4700</v>
      </c>
      <c r="J22" s="1">
        <f t="shared" si="6"/>
        <v>7850</v>
      </c>
      <c r="K22" s="1">
        <f t="shared" si="6"/>
        <v>47550</v>
      </c>
      <c r="L22" s="1">
        <f t="shared" si="6"/>
        <v>91</v>
      </c>
    </row>
    <row r="25" spans="1:12" x14ac:dyDescent="0.25">
      <c r="C25" s="1">
        <v>7500</v>
      </c>
      <c r="D25" s="1">
        <v>0</v>
      </c>
      <c r="E25" s="1">
        <f t="shared" ref="E25:E34" si="7">C25-D25</f>
        <v>7500</v>
      </c>
      <c r="F25" s="1">
        <v>0</v>
      </c>
      <c r="G25" s="1">
        <v>5</v>
      </c>
      <c r="H25" s="1">
        <f t="shared" ref="H25:H34" si="8">IF(D25&gt;=6000, D25/2, IF(AND(D25&lt;6000, D25&gt;=3000,  F25&gt;2),  D25*3/10, IF(AND(D25&lt;6000, D25&gt;=3000, OR(F25=2, F25 = 1)), D25*2/10, 0)))</f>
        <v>0</v>
      </c>
      <c r="I25" s="1">
        <f t="shared" ref="I25:I34" si="9">IF(E25&gt;=5000, IF(300*G25&lt;=E25, 300*G25, E25 ),  IF(E25&lt;5000, IF(100*G25&lt;=E25, 100*G25, E25 )))</f>
        <v>1500</v>
      </c>
      <c r="J25" s="1">
        <f t="shared" ref="J25:J34" si="10">H25+I25</f>
        <v>1500</v>
      </c>
      <c r="K25" s="1">
        <f t="shared" ref="K25:K34" si="11">C25-J25</f>
        <v>6000</v>
      </c>
      <c r="L25" s="4">
        <f t="shared" ref="L25:L34" si="12">FLOOR(K25/500,1)</f>
        <v>12</v>
      </c>
    </row>
    <row r="26" spans="1:12" x14ac:dyDescent="0.25">
      <c r="C26" s="1">
        <v>11000</v>
      </c>
      <c r="D26" s="1">
        <v>6300</v>
      </c>
      <c r="E26" s="1">
        <f t="shared" si="7"/>
        <v>4700</v>
      </c>
      <c r="F26" s="1">
        <v>3</v>
      </c>
      <c r="G26" s="1">
        <v>9</v>
      </c>
      <c r="H26" s="1">
        <f t="shared" si="8"/>
        <v>3150</v>
      </c>
      <c r="I26" s="1">
        <f t="shared" si="9"/>
        <v>900</v>
      </c>
      <c r="J26" s="1">
        <f t="shared" si="10"/>
        <v>4050</v>
      </c>
      <c r="K26" s="1">
        <f t="shared" si="11"/>
        <v>6950</v>
      </c>
      <c r="L26" s="4">
        <f t="shared" si="12"/>
        <v>13</v>
      </c>
    </row>
    <row r="27" spans="1:12" x14ac:dyDescent="0.25">
      <c r="C27" s="1">
        <v>10350</v>
      </c>
      <c r="D27" s="1">
        <v>520</v>
      </c>
      <c r="E27" s="1">
        <f t="shared" si="7"/>
        <v>9830</v>
      </c>
      <c r="F27" s="1">
        <v>0</v>
      </c>
      <c r="G27" s="1">
        <v>3</v>
      </c>
      <c r="H27" s="1">
        <f t="shared" si="8"/>
        <v>0</v>
      </c>
      <c r="I27" s="1">
        <f t="shared" si="9"/>
        <v>900</v>
      </c>
      <c r="J27" s="1">
        <f t="shared" si="10"/>
        <v>900</v>
      </c>
      <c r="K27" s="1">
        <f t="shared" si="11"/>
        <v>9450</v>
      </c>
      <c r="L27" s="4">
        <f t="shared" si="12"/>
        <v>18</v>
      </c>
    </row>
    <row r="28" spans="1:12" x14ac:dyDescent="0.25">
      <c r="C28" s="1">
        <v>10600</v>
      </c>
      <c r="D28" s="1">
        <v>2500</v>
      </c>
      <c r="E28" s="1">
        <f t="shared" si="7"/>
        <v>8100</v>
      </c>
      <c r="F28" s="1">
        <v>3</v>
      </c>
      <c r="G28" s="1">
        <v>2</v>
      </c>
      <c r="H28" s="1">
        <f t="shared" si="8"/>
        <v>0</v>
      </c>
      <c r="I28" s="1">
        <f t="shared" si="9"/>
        <v>600</v>
      </c>
      <c r="J28" s="1">
        <f t="shared" si="10"/>
        <v>600</v>
      </c>
      <c r="K28" s="1">
        <f t="shared" si="11"/>
        <v>10000</v>
      </c>
      <c r="L28" s="4">
        <f t="shared" si="12"/>
        <v>20</v>
      </c>
    </row>
    <row r="29" spans="1:12" x14ac:dyDescent="0.25">
      <c r="C29" s="1">
        <v>400</v>
      </c>
      <c r="D29" s="1">
        <v>0</v>
      </c>
      <c r="E29" s="1">
        <f t="shared" si="7"/>
        <v>400</v>
      </c>
      <c r="F29" s="1">
        <v>0</v>
      </c>
      <c r="G29" s="1">
        <v>10</v>
      </c>
      <c r="H29" s="1">
        <f t="shared" si="8"/>
        <v>0</v>
      </c>
      <c r="I29" s="1">
        <f t="shared" si="9"/>
        <v>400</v>
      </c>
      <c r="J29" s="1">
        <f t="shared" si="10"/>
        <v>400</v>
      </c>
      <c r="K29" s="1">
        <f t="shared" si="11"/>
        <v>0</v>
      </c>
      <c r="L29" s="4">
        <f t="shared" si="12"/>
        <v>0</v>
      </c>
    </row>
    <row r="30" spans="1:12" x14ac:dyDescent="0.25">
      <c r="C30" s="1">
        <v>6740</v>
      </c>
      <c r="D30" s="1">
        <v>740</v>
      </c>
      <c r="E30" s="1">
        <f t="shared" si="7"/>
        <v>6000</v>
      </c>
      <c r="F30" s="1">
        <v>2</v>
      </c>
      <c r="G30" s="1">
        <v>1</v>
      </c>
      <c r="H30" s="1">
        <f t="shared" si="8"/>
        <v>0</v>
      </c>
      <c r="I30" s="1">
        <f t="shared" si="9"/>
        <v>300</v>
      </c>
      <c r="J30" s="1">
        <f t="shared" si="10"/>
        <v>300</v>
      </c>
      <c r="K30" s="1">
        <f t="shared" si="11"/>
        <v>6440</v>
      </c>
      <c r="L30" s="4">
        <f t="shared" si="12"/>
        <v>12</v>
      </c>
    </row>
    <row r="31" spans="1:12" x14ac:dyDescent="0.25">
      <c r="C31" s="1">
        <v>3020</v>
      </c>
      <c r="D31" s="1">
        <v>1020</v>
      </c>
      <c r="E31" s="1">
        <f t="shared" si="7"/>
        <v>2000</v>
      </c>
      <c r="F31" s="1">
        <v>5</v>
      </c>
      <c r="G31" s="1">
        <v>1</v>
      </c>
      <c r="H31" s="1">
        <f t="shared" si="8"/>
        <v>0</v>
      </c>
      <c r="I31" s="1">
        <f t="shared" si="9"/>
        <v>100</v>
      </c>
      <c r="J31" s="1">
        <f t="shared" si="10"/>
        <v>100</v>
      </c>
      <c r="K31" s="1">
        <f t="shared" si="11"/>
        <v>2920</v>
      </c>
      <c r="L31" s="4">
        <f t="shared" si="12"/>
        <v>5</v>
      </c>
    </row>
    <row r="32" spans="1:12" x14ac:dyDescent="0.25">
      <c r="C32" s="1">
        <v>3500</v>
      </c>
      <c r="D32" s="1">
        <v>0</v>
      </c>
      <c r="E32" s="1">
        <f t="shared" si="7"/>
        <v>3500</v>
      </c>
      <c r="F32" s="1">
        <v>1</v>
      </c>
      <c r="G32" s="1">
        <v>0</v>
      </c>
      <c r="H32" s="1">
        <f t="shared" si="8"/>
        <v>0</v>
      </c>
      <c r="I32" s="1">
        <f t="shared" si="9"/>
        <v>0</v>
      </c>
      <c r="J32" s="1">
        <f t="shared" si="10"/>
        <v>0</v>
      </c>
      <c r="K32" s="1">
        <f t="shared" si="11"/>
        <v>3500</v>
      </c>
      <c r="L32" s="4">
        <f t="shared" si="12"/>
        <v>7</v>
      </c>
    </row>
    <row r="33" spans="3:12" x14ac:dyDescent="0.25">
      <c r="C33" s="1">
        <v>590</v>
      </c>
      <c r="D33" s="1">
        <v>590</v>
      </c>
      <c r="E33" s="1">
        <f t="shared" si="7"/>
        <v>0</v>
      </c>
      <c r="F33" s="1">
        <v>0</v>
      </c>
      <c r="G33" s="1">
        <v>3</v>
      </c>
      <c r="H33" s="1">
        <f t="shared" si="8"/>
        <v>0</v>
      </c>
      <c r="I33" s="1">
        <f t="shared" si="9"/>
        <v>0</v>
      </c>
      <c r="J33" s="1">
        <f t="shared" si="10"/>
        <v>0</v>
      </c>
      <c r="K33" s="1">
        <f t="shared" si="11"/>
        <v>590</v>
      </c>
      <c r="L33" s="4">
        <f t="shared" si="12"/>
        <v>1</v>
      </c>
    </row>
    <row r="34" spans="3:12" x14ac:dyDescent="0.25">
      <c r="C34" s="1">
        <v>1700</v>
      </c>
      <c r="D34" s="1">
        <v>300</v>
      </c>
      <c r="E34" s="1">
        <f t="shared" si="7"/>
        <v>1400</v>
      </c>
      <c r="F34" s="1">
        <v>2</v>
      </c>
      <c r="G34" s="1">
        <v>0</v>
      </c>
      <c r="H34" s="1">
        <f t="shared" si="8"/>
        <v>0</v>
      </c>
      <c r="I34" s="1">
        <f t="shared" si="9"/>
        <v>0</v>
      </c>
      <c r="J34" s="1">
        <f t="shared" si="10"/>
        <v>0</v>
      </c>
      <c r="K34" s="1">
        <f t="shared" si="11"/>
        <v>1700</v>
      </c>
      <c r="L34" s="4">
        <f t="shared" si="12"/>
        <v>3</v>
      </c>
    </row>
  </sheetData>
  <sortState xmlns:xlrd2="http://schemas.microsoft.com/office/spreadsheetml/2017/richdata2" ref="C25:L34">
    <sortCondition descending="1" ref="I25:I34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мак">
                <anchor>
                  <from>
                    <xdr:col>5</xdr:col>
                    <xdr:colOff>400050</xdr:colOff>
                    <xdr:row>1</xdr:row>
                    <xdr:rowOff>342900</xdr:rowOff>
                  </from>
                  <to>
                    <xdr:col>8</xdr:col>
                    <xdr:colOff>752475</xdr:colOff>
                    <xdr:row>3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J22"/>
  <sheetViews>
    <sheetView workbookViewId="0">
      <selection activeCell="M15" sqref="M15"/>
    </sheetView>
  </sheetViews>
  <sheetFormatPr defaultRowHeight="15" x14ac:dyDescent="0.25"/>
  <sheetData>
    <row r="1" spans="1:10" x14ac:dyDescent="0.25">
      <c r="A1" s="1" t="s">
        <v>33</v>
      </c>
      <c r="B1" s="1" t="s">
        <v>34</v>
      </c>
      <c r="D1" s="1" t="s">
        <v>33</v>
      </c>
      <c r="E1" s="1" t="s">
        <v>34</v>
      </c>
      <c r="G1" t="s">
        <v>35</v>
      </c>
      <c r="H1" s="9" t="s">
        <v>36</v>
      </c>
    </row>
    <row r="2" spans="1:10" x14ac:dyDescent="0.25">
      <c r="A2" s="1">
        <v>-10</v>
      </c>
      <c r="B2" s="1">
        <f>3*A2^2-2*A2^2</f>
        <v>100</v>
      </c>
      <c r="D2" s="1">
        <v>-10</v>
      </c>
      <c r="E2" s="1">
        <f>3*D2^2-2*D2^2</f>
        <v>100</v>
      </c>
      <c r="G2">
        <f>40*A2^2-500</f>
        <v>3500</v>
      </c>
      <c r="H2">
        <f>3*D2^2-2*D2^2-(40*D2^2-500)</f>
        <v>-3400</v>
      </c>
      <c r="J2" t="s">
        <v>37</v>
      </c>
    </row>
    <row r="3" spans="1:10" x14ac:dyDescent="0.25">
      <c r="A3" s="1">
        <v>-9</v>
      </c>
      <c r="B3" s="1">
        <f t="shared" ref="B3:B22" si="0">3*A3^2-2*A3^2</f>
        <v>81</v>
      </c>
      <c r="D3" s="1">
        <v>-9</v>
      </c>
      <c r="E3" s="1">
        <f t="shared" ref="E3:E22" si="1">3*D3^2-2*D3^2</f>
        <v>81</v>
      </c>
      <c r="G3">
        <f t="shared" ref="G3:G22" si="2">40*A3^2-500</f>
        <v>2740</v>
      </c>
      <c r="H3">
        <f t="shared" ref="H3:H22" si="3">3*D3^2-2*D3^2-(40*D3^2-500)</f>
        <v>-2659</v>
      </c>
      <c r="J3" t="s">
        <v>38</v>
      </c>
    </row>
    <row r="4" spans="1:10" x14ac:dyDescent="0.25">
      <c r="A4" s="1">
        <v>-8</v>
      </c>
      <c r="B4" s="1">
        <f t="shared" si="0"/>
        <v>64</v>
      </c>
      <c r="D4" s="1">
        <v>-8</v>
      </c>
      <c r="E4" s="1">
        <f t="shared" si="1"/>
        <v>64</v>
      </c>
      <c r="G4">
        <f t="shared" si="2"/>
        <v>2060</v>
      </c>
      <c r="H4">
        <f t="shared" si="3"/>
        <v>-1996</v>
      </c>
    </row>
    <row r="5" spans="1:10" x14ac:dyDescent="0.25">
      <c r="A5" s="1">
        <v>-7</v>
      </c>
      <c r="B5" s="1">
        <f t="shared" si="0"/>
        <v>49</v>
      </c>
      <c r="D5" s="1">
        <v>-7</v>
      </c>
      <c r="E5" s="1">
        <f t="shared" si="1"/>
        <v>49</v>
      </c>
      <c r="G5">
        <f t="shared" si="2"/>
        <v>1460</v>
      </c>
      <c r="H5">
        <f t="shared" si="3"/>
        <v>-1411</v>
      </c>
    </row>
    <row r="6" spans="1:10" x14ac:dyDescent="0.25">
      <c r="A6" s="1">
        <v>-6</v>
      </c>
      <c r="B6" s="1">
        <f t="shared" si="0"/>
        <v>36</v>
      </c>
      <c r="D6" s="1">
        <v>-6</v>
      </c>
      <c r="E6" s="1">
        <f t="shared" si="1"/>
        <v>36</v>
      </c>
      <c r="G6">
        <f t="shared" si="2"/>
        <v>940</v>
      </c>
      <c r="H6">
        <f t="shared" si="3"/>
        <v>-904</v>
      </c>
    </row>
    <row r="7" spans="1:10" x14ac:dyDescent="0.25">
      <c r="A7" s="1">
        <v>-5</v>
      </c>
      <c r="B7" s="1">
        <f t="shared" si="0"/>
        <v>25</v>
      </c>
      <c r="D7" s="10">
        <v>-3.5805748108457767</v>
      </c>
      <c r="E7" s="1">
        <f t="shared" si="1"/>
        <v>12.82051597606327</v>
      </c>
      <c r="G7">
        <f t="shared" si="2"/>
        <v>500</v>
      </c>
      <c r="H7" s="11">
        <f t="shared" si="3"/>
        <v>-1.2306646745940952E-4</v>
      </c>
    </row>
    <row r="8" spans="1:10" x14ac:dyDescent="0.25">
      <c r="A8" s="1">
        <v>-4</v>
      </c>
      <c r="B8" s="1">
        <f t="shared" si="0"/>
        <v>16</v>
      </c>
      <c r="D8">
        <v>-4</v>
      </c>
      <c r="E8" s="1">
        <f t="shared" si="1"/>
        <v>16</v>
      </c>
      <c r="G8">
        <f t="shared" si="2"/>
        <v>140</v>
      </c>
      <c r="H8">
        <f t="shared" si="3"/>
        <v>-124</v>
      </c>
    </row>
    <row r="9" spans="1:10" x14ac:dyDescent="0.25">
      <c r="A9" s="1">
        <v>-3</v>
      </c>
      <c r="B9" s="1">
        <f t="shared" si="0"/>
        <v>9</v>
      </c>
      <c r="D9" s="1">
        <v>-3</v>
      </c>
      <c r="E9" s="1">
        <f t="shared" si="1"/>
        <v>9</v>
      </c>
      <c r="G9">
        <f t="shared" si="2"/>
        <v>-140</v>
      </c>
      <c r="H9">
        <f t="shared" si="3"/>
        <v>149</v>
      </c>
    </row>
    <row r="10" spans="1:10" x14ac:dyDescent="0.25">
      <c r="A10" s="1">
        <v>-2</v>
      </c>
      <c r="B10" s="1">
        <f t="shared" si="0"/>
        <v>4</v>
      </c>
      <c r="D10" s="1">
        <v>-2</v>
      </c>
      <c r="E10" s="1">
        <f t="shared" si="1"/>
        <v>4</v>
      </c>
      <c r="G10">
        <f t="shared" si="2"/>
        <v>-340</v>
      </c>
      <c r="H10">
        <f t="shared" si="3"/>
        <v>344</v>
      </c>
    </row>
    <row r="11" spans="1:10" x14ac:dyDescent="0.25">
      <c r="A11" s="1">
        <v>-1</v>
      </c>
      <c r="B11" s="1">
        <f t="shared" si="0"/>
        <v>1</v>
      </c>
      <c r="D11" s="1">
        <v>-1</v>
      </c>
      <c r="E11" s="1">
        <f t="shared" si="1"/>
        <v>1</v>
      </c>
      <c r="G11">
        <f t="shared" si="2"/>
        <v>-460</v>
      </c>
      <c r="H11">
        <f t="shared" si="3"/>
        <v>461</v>
      </c>
    </row>
    <row r="12" spans="1:10" x14ac:dyDescent="0.25">
      <c r="A12" s="1">
        <v>0</v>
      </c>
      <c r="B12" s="1">
        <f t="shared" si="0"/>
        <v>0</v>
      </c>
      <c r="D12" s="7">
        <v>0</v>
      </c>
      <c r="E12" s="7">
        <f t="shared" si="1"/>
        <v>0</v>
      </c>
      <c r="G12">
        <f t="shared" si="2"/>
        <v>-500</v>
      </c>
      <c r="H12">
        <f t="shared" si="3"/>
        <v>500</v>
      </c>
    </row>
    <row r="13" spans="1:10" x14ac:dyDescent="0.25">
      <c r="A13" s="1">
        <v>1</v>
      </c>
      <c r="B13" s="1">
        <f t="shared" si="0"/>
        <v>1</v>
      </c>
      <c r="D13" s="1">
        <v>1</v>
      </c>
      <c r="E13" s="1">
        <f t="shared" si="1"/>
        <v>1</v>
      </c>
      <c r="G13">
        <f t="shared" si="2"/>
        <v>-460</v>
      </c>
      <c r="H13">
        <f t="shared" si="3"/>
        <v>461</v>
      </c>
    </row>
    <row r="14" spans="1:10" x14ac:dyDescent="0.25">
      <c r="A14" s="1">
        <v>2</v>
      </c>
      <c r="B14" s="1">
        <f t="shared" si="0"/>
        <v>4</v>
      </c>
      <c r="D14" s="1">
        <v>2</v>
      </c>
      <c r="E14" s="1">
        <f t="shared" si="1"/>
        <v>4</v>
      </c>
      <c r="G14">
        <f t="shared" si="2"/>
        <v>-340</v>
      </c>
      <c r="H14">
        <f t="shared" si="3"/>
        <v>344</v>
      </c>
    </row>
    <row r="15" spans="1:10" x14ac:dyDescent="0.25">
      <c r="A15" s="1">
        <v>3</v>
      </c>
      <c r="B15" s="1">
        <f t="shared" si="0"/>
        <v>9</v>
      </c>
      <c r="D15" s="10">
        <v>3.5805720020774783</v>
      </c>
      <c r="E15" s="1">
        <f t="shared" si="1"/>
        <v>12.820495862061119</v>
      </c>
      <c r="G15">
        <f t="shared" si="2"/>
        <v>-140</v>
      </c>
      <c r="H15" s="11">
        <f t="shared" si="3"/>
        <v>6.613796163428276E-4</v>
      </c>
    </row>
    <row r="16" spans="1:10" x14ac:dyDescent="0.25">
      <c r="A16" s="1">
        <v>4</v>
      </c>
      <c r="B16" s="1">
        <f t="shared" si="0"/>
        <v>16</v>
      </c>
      <c r="D16" s="1">
        <v>4</v>
      </c>
      <c r="E16" s="1">
        <f t="shared" si="1"/>
        <v>16</v>
      </c>
      <c r="G16">
        <f t="shared" si="2"/>
        <v>140</v>
      </c>
      <c r="H16">
        <f t="shared" si="3"/>
        <v>-124</v>
      </c>
    </row>
    <row r="17" spans="1:8" x14ac:dyDescent="0.25">
      <c r="A17" s="1">
        <v>5</v>
      </c>
      <c r="B17" s="1">
        <f t="shared" si="0"/>
        <v>25</v>
      </c>
      <c r="D17" s="1">
        <v>5</v>
      </c>
      <c r="E17" s="1">
        <f t="shared" si="1"/>
        <v>25</v>
      </c>
      <c r="G17">
        <f t="shared" si="2"/>
        <v>500</v>
      </c>
      <c r="H17">
        <f t="shared" si="3"/>
        <v>-475</v>
      </c>
    </row>
    <row r="18" spans="1:8" x14ac:dyDescent="0.25">
      <c r="A18" s="1">
        <v>6</v>
      </c>
      <c r="B18" s="1">
        <f t="shared" si="0"/>
        <v>36</v>
      </c>
      <c r="D18" s="1">
        <v>6</v>
      </c>
      <c r="E18" s="1">
        <f t="shared" si="1"/>
        <v>36</v>
      </c>
      <c r="G18">
        <f t="shared" si="2"/>
        <v>940</v>
      </c>
      <c r="H18">
        <f t="shared" si="3"/>
        <v>-904</v>
      </c>
    </row>
    <row r="19" spans="1:8" x14ac:dyDescent="0.25">
      <c r="A19" s="1">
        <v>7</v>
      </c>
      <c r="B19" s="1">
        <f t="shared" si="0"/>
        <v>49</v>
      </c>
      <c r="D19" s="1">
        <v>7</v>
      </c>
      <c r="E19" s="1">
        <f t="shared" si="1"/>
        <v>49</v>
      </c>
      <c r="G19">
        <f t="shared" si="2"/>
        <v>1460</v>
      </c>
      <c r="H19">
        <f t="shared" si="3"/>
        <v>-1411</v>
      </c>
    </row>
    <row r="20" spans="1:8" x14ac:dyDescent="0.25">
      <c r="A20" s="1">
        <v>8</v>
      </c>
      <c r="B20" s="1">
        <f t="shared" si="0"/>
        <v>64</v>
      </c>
      <c r="D20" s="1">
        <v>8</v>
      </c>
      <c r="E20" s="1">
        <f t="shared" si="1"/>
        <v>64</v>
      </c>
      <c r="G20">
        <f t="shared" si="2"/>
        <v>2060</v>
      </c>
      <c r="H20">
        <f t="shared" si="3"/>
        <v>-1996</v>
      </c>
    </row>
    <row r="21" spans="1:8" x14ac:dyDescent="0.25">
      <c r="A21" s="1">
        <v>9</v>
      </c>
      <c r="B21" s="1">
        <f t="shared" si="0"/>
        <v>81</v>
      </c>
      <c r="D21" s="1">
        <v>9</v>
      </c>
      <c r="E21" s="1">
        <f t="shared" si="1"/>
        <v>81</v>
      </c>
      <c r="G21">
        <f t="shared" si="2"/>
        <v>2740</v>
      </c>
      <c r="H21">
        <f t="shared" si="3"/>
        <v>-2659</v>
      </c>
    </row>
    <row r="22" spans="1:8" x14ac:dyDescent="0.25">
      <c r="A22" s="1">
        <v>10</v>
      </c>
      <c r="B22" s="1">
        <f t="shared" si="0"/>
        <v>100</v>
      </c>
      <c r="D22" s="1">
        <v>10</v>
      </c>
      <c r="E22" s="1">
        <f t="shared" si="1"/>
        <v>100</v>
      </c>
      <c r="G22">
        <f t="shared" si="2"/>
        <v>3500</v>
      </c>
      <c r="H22">
        <f t="shared" si="3"/>
        <v>-3400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мак">
                <anchor>
                  <from>
                    <xdr:col>9</xdr:col>
                    <xdr:colOff>304800</xdr:colOff>
                    <xdr:row>5</xdr:row>
                    <xdr:rowOff>123825</xdr:rowOff>
                  </from>
                  <to>
                    <xdr:col>13</xdr:col>
                    <xdr:colOff>323850</xdr:colOff>
                    <xdr:row>10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40"/>
  <sheetViews>
    <sheetView workbookViewId="0">
      <selection activeCell="M12" sqref="M12"/>
    </sheetView>
  </sheetViews>
  <sheetFormatPr defaultRowHeight="15" x14ac:dyDescent="0.25"/>
  <cols>
    <col min="1" max="1" width="24.85546875" customWidth="1"/>
    <col min="2" max="2" width="19.28515625" customWidth="1"/>
    <col min="5" max="5" width="19" customWidth="1"/>
    <col min="6" max="6" width="23.5703125" customWidth="1"/>
    <col min="7" max="7" width="10.5703125" bestFit="1" customWidth="1"/>
  </cols>
  <sheetData>
    <row r="1" spans="1:8" x14ac:dyDescent="0.25">
      <c r="A1" s="1" t="s">
        <v>39</v>
      </c>
      <c r="B1" s="1" t="s">
        <v>40</v>
      </c>
      <c r="C1" s="1"/>
      <c r="F1" s="1" t="s">
        <v>41</v>
      </c>
      <c r="G1" s="1" t="s">
        <v>40</v>
      </c>
      <c r="H1" s="1"/>
    </row>
    <row r="2" spans="1:8" x14ac:dyDescent="0.25">
      <c r="A2" s="1" t="s">
        <v>42</v>
      </c>
      <c r="B2" s="1">
        <v>2000</v>
      </c>
      <c r="C2" s="1" t="s">
        <v>43</v>
      </c>
      <c r="F2" s="1" t="s">
        <v>44</v>
      </c>
      <c r="G2" s="1">
        <v>714</v>
      </c>
      <c r="H2" s="1" t="s">
        <v>43</v>
      </c>
    </row>
    <row r="3" spans="1:8" x14ac:dyDescent="0.25">
      <c r="A3" s="1" t="s">
        <v>45</v>
      </c>
      <c r="B3" s="1">
        <v>8</v>
      </c>
      <c r="C3" s="1" t="s">
        <v>46</v>
      </c>
      <c r="F3" s="1" t="s">
        <v>47</v>
      </c>
      <c r="G3" s="1">
        <v>8</v>
      </c>
      <c r="H3" s="1" t="s">
        <v>46</v>
      </c>
    </row>
    <row r="4" spans="1:8" x14ac:dyDescent="0.25">
      <c r="A4" s="1" t="s">
        <v>48</v>
      </c>
      <c r="B4" s="1">
        <v>30.11</v>
      </c>
      <c r="C4" s="1" t="s">
        <v>49</v>
      </c>
      <c r="F4" s="1" t="s">
        <v>48</v>
      </c>
      <c r="G4" s="8">
        <v>30.11</v>
      </c>
      <c r="H4" s="1" t="s">
        <v>49</v>
      </c>
    </row>
    <row r="5" spans="1:8" x14ac:dyDescent="0.25">
      <c r="A5" s="1" t="s">
        <v>50</v>
      </c>
      <c r="B5" s="1">
        <v>2</v>
      </c>
      <c r="C5" s="1" t="s">
        <v>51</v>
      </c>
      <c r="F5" s="1" t="s">
        <v>50</v>
      </c>
      <c r="G5" s="1">
        <v>2</v>
      </c>
      <c r="H5" s="1" t="s">
        <v>51</v>
      </c>
    </row>
    <row r="6" spans="1:8" x14ac:dyDescent="0.25">
      <c r="A6" s="1" t="s">
        <v>52</v>
      </c>
      <c r="B6" s="1">
        <v>4140</v>
      </c>
      <c r="C6" s="1" t="s">
        <v>53</v>
      </c>
      <c r="F6" s="1" t="s">
        <v>54</v>
      </c>
      <c r="G6" s="1">
        <v>2828</v>
      </c>
      <c r="H6" s="1" t="s">
        <v>53</v>
      </c>
    </row>
    <row r="7" spans="1:8" x14ac:dyDescent="0.25">
      <c r="A7" s="1" t="s">
        <v>55</v>
      </c>
      <c r="B7" s="1">
        <f>B2*B3:B3/100*B4-B6*B5</f>
        <v>-3462.3999999999996</v>
      </c>
      <c r="C7" s="1" t="s">
        <v>49</v>
      </c>
      <c r="F7" s="1" t="s">
        <v>55</v>
      </c>
      <c r="G7" s="8">
        <f>G2*G3/100*G4-G6*G5</f>
        <v>-3936.1167999999998</v>
      </c>
      <c r="H7" s="1" t="s">
        <v>49</v>
      </c>
    </row>
    <row r="10" spans="1:8" x14ac:dyDescent="0.25">
      <c r="A10" s="1" t="s">
        <v>39</v>
      </c>
      <c r="B10" s="1" t="s">
        <v>56</v>
      </c>
      <c r="C10" s="1"/>
      <c r="F10" s="1" t="s">
        <v>41</v>
      </c>
      <c r="G10" s="1" t="s">
        <v>40</v>
      </c>
      <c r="H10" s="1"/>
    </row>
    <row r="11" spans="1:8" x14ac:dyDescent="0.25">
      <c r="A11" s="1" t="s">
        <v>42</v>
      </c>
      <c r="B11" s="1">
        <v>2000</v>
      </c>
      <c r="C11" s="1" t="s">
        <v>43</v>
      </c>
      <c r="F11" s="1" t="s">
        <v>44</v>
      </c>
      <c r="G11" s="1">
        <v>714</v>
      </c>
      <c r="H11" s="1" t="s">
        <v>43</v>
      </c>
    </row>
    <row r="12" spans="1:8" x14ac:dyDescent="0.25">
      <c r="A12" s="1" t="s">
        <v>45</v>
      </c>
      <c r="B12" s="1">
        <v>8</v>
      </c>
      <c r="C12" s="1" t="s">
        <v>46</v>
      </c>
      <c r="F12" s="1" t="s">
        <v>47</v>
      </c>
      <c r="G12" s="1">
        <v>8</v>
      </c>
      <c r="H12" s="1" t="s">
        <v>46</v>
      </c>
    </row>
    <row r="13" spans="1:8" x14ac:dyDescent="0.25">
      <c r="A13" s="1" t="s">
        <v>48</v>
      </c>
      <c r="B13" s="1">
        <v>30.11</v>
      </c>
      <c r="C13" s="1" t="s">
        <v>49</v>
      </c>
      <c r="F13" s="1" t="s">
        <v>48</v>
      </c>
      <c r="G13" s="8">
        <v>30.11</v>
      </c>
      <c r="H13" s="1" t="s">
        <v>49</v>
      </c>
    </row>
    <row r="14" spans="1:8" x14ac:dyDescent="0.25">
      <c r="A14" s="1" t="s">
        <v>50</v>
      </c>
      <c r="B14" s="1">
        <v>2</v>
      </c>
      <c r="C14" s="1" t="s">
        <v>51</v>
      </c>
      <c r="F14" s="1" t="s">
        <v>50</v>
      </c>
      <c r="G14" s="7">
        <v>0.60816237623762304</v>
      </c>
      <c r="H14" s="1" t="s">
        <v>51</v>
      </c>
    </row>
    <row r="15" spans="1:8" x14ac:dyDescent="0.25">
      <c r="A15" s="1" t="s">
        <v>52</v>
      </c>
      <c r="B15" s="7">
        <v>2408.8000000000002</v>
      </c>
      <c r="C15" s="1" t="s">
        <v>53</v>
      </c>
      <c r="F15" s="1" t="s">
        <v>54</v>
      </c>
      <c r="G15" s="1">
        <v>2828</v>
      </c>
      <c r="H15" s="1" t="s">
        <v>53</v>
      </c>
    </row>
    <row r="16" spans="1:8" x14ac:dyDescent="0.25">
      <c r="A16" s="1" t="s">
        <v>55</v>
      </c>
      <c r="B16" s="1">
        <f>B11*B12:B12/100*B13-B15*B14</f>
        <v>0</v>
      </c>
      <c r="C16" s="1" t="s">
        <v>49</v>
      </c>
      <c r="F16" s="1" t="s">
        <v>55</v>
      </c>
      <c r="G16" s="8">
        <f>G11*G12/100*G13-G15*G14</f>
        <v>2.0463630789890885E-12</v>
      </c>
      <c r="H16" s="1" t="s">
        <v>49</v>
      </c>
    </row>
    <row r="19" spans="1:8" x14ac:dyDescent="0.25">
      <c r="A19" s="1" t="s">
        <v>39</v>
      </c>
      <c r="B19" s="1" t="s">
        <v>57</v>
      </c>
      <c r="C19" s="1"/>
      <c r="F19" s="1" t="s">
        <v>41</v>
      </c>
      <c r="G19" s="1" t="s">
        <v>40</v>
      </c>
      <c r="H19" s="1"/>
    </row>
    <row r="20" spans="1:8" x14ac:dyDescent="0.25">
      <c r="A20" s="1" t="s">
        <v>42</v>
      </c>
      <c r="B20" s="1">
        <v>2000</v>
      </c>
      <c r="C20" s="1" t="s">
        <v>43</v>
      </c>
      <c r="F20" s="1" t="s">
        <v>44</v>
      </c>
      <c r="G20" s="1">
        <v>714</v>
      </c>
      <c r="H20" s="1" t="s">
        <v>43</v>
      </c>
    </row>
    <row r="21" spans="1:8" x14ac:dyDescent="0.25">
      <c r="A21" s="1" t="s">
        <v>45</v>
      </c>
      <c r="B21" s="1">
        <v>8</v>
      </c>
      <c r="C21" s="1" t="s">
        <v>46</v>
      </c>
      <c r="F21" s="1" t="s">
        <v>47</v>
      </c>
      <c r="G21" s="7">
        <v>26.308763292763132</v>
      </c>
      <c r="H21" s="1" t="s">
        <v>46</v>
      </c>
    </row>
    <row r="22" spans="1:8" x14ac:dyDescent="0.25">
      <c r="A22" s="1" t="s">
        <v>48</v>
      </c>
      <c r="B22" s="1">
        <v>30.11</v>
      </c>
      <c r="C22" s="1" t="s">
        <v>49</v>
      </c>
      <c r="F22" s="1" t="s">
        <v>48</v>
      </c>
      <c r="G22" s="8">
        <v>30.11</v>
      </c>
      <c r="H22" s="1" t="s">
        <v>49</v>
      </c>
    </row>
    <row r="23" spans="1:8" x14ac:dyDescent="0.25">
      <c r="A23" s="1" t="s">
        <v>50</v>
      </c>
      <c r="B23" s="7">
        <v>1.1636714975845412</v>
      </c>
      <c r="C23" s="1" t="s">
        <v>51</v>
      </c>
      <c r="F23" s="1" t="s">
        <v>50</v>
      </c>
      <c r="G23" s="1">
        <v>2</v>
      </c>
      <c r="H23" s="1" t="s">
        <v>51</v>
      </c>
    </row>
    <row r="24" spans="1:8" x14ac:dyDescent="0.25">
      <c r="A24" s="1" t="s">
        <v>52</v>
      </c>
      <c r="B24" s="1">
        <v>4140</v>
      </c>
      <c r="C24" s="1" t="s">
        <v>53</v>
      </c>
      <c r="F24" s="1" t="s">
        <v>54</v>
      </c>
      <c r="G24" s="1">
        <v>2828</v>
      </c>
      <c r="H24" s="1" t="s">
        <v>53</v>
      </c>
    </row>
    <row r="25" spans="1:8" x14ac:dyDescent="0.25">
      <c r="A25" s="1" t="s">
        <v>55</v>
      </c>
      <c r="B25" s="1">
        <f>B20*B21:B21/100*B22-B24*B23</f>
        <v>0</v>
      </c>
      <c r="C25" s="1" t="s">
        <v>49</v>
      </c>
      <c r="F25" s="1" t="s">
        <v>55</v>
      </c>
      <c r="G25" s="8">
        <f>G20*G21/100*G22-G24*G23</f>
        <v>0</v>
      </c>
      <c r="H25" s="1" t="s">
        <v>49</v>
      </c>
    </row>
    <row r="28" spans="1:8" x14ac:dyDescent="0.25">
      <c r="A28" s="1" t="s">
        <v>39</v>
      </c>
      <c r="B28" s="1" t="s">
        <v>58</v>
      </c>
      <c r="C28" s="1"/>
    </row>
    <row r="29" spans="1:8" x14ac:dyDescent="0.25">
      <c r="A29" s="1" t="s">
        <v>42</v>
      </c>
      <c r="B29" s="1">
        <v>2000</v>
      </c>
      <c r="C29" s="1" t="s">
        <v>43</v>
      </c>
    </row>
    <row r="30" spans="1:8" x14ac:dyDescent="0.25">
      <c r="A30" s="1" t="s">
        <v>45</v>
      </c>
      <c r="B30" s="1">
        <v>8</v>
      </c>
      <c r="C30" s="1" t="s">
        <v>46</v>
      </c>
    </row>
    <row r="31" spans="1:8" x14ac:dyDescent="0.25">
      <c r="A31" s="1" t="s">
        <v>48</v>
      </c>
      <c r="B31" s="7">
        <v>51.75</v>
      </c>
      <c r="C31" s="1" t="s">
        <v>49</v>
      </c>
    </row>
    <row r="32" spans="1:8" x14ac:dyDescent="0.25">
      <c r="A32" s="1" t="s">
        <v>50</v>
      </c>
      <c r="B32" s="1">
        <v>2</v>
      </c>
      <c r="C32" s="1" t="s">
        <v>51</v>
      </c>
    </row>
    <row r="33" spans="1:5" x14ac:dyDescent="0.25">
      <c r="A33" s="1" t="s">
        <v>52</v>
      </c>
      <c r="B33" s="1">
        <v>4140</v>
      </c>
      <c r="C33" s="1" t="s">
        <v>53</v>
      </c>
    </row>
    <row r="34" spans="1:5" x14ac:dyDescent="0.25">
      <c r="A34" s="1" t="s">
        <v>55</v>
      </c>
      <c r="B34" s="1">
        <f>B29*B30:B30/100*B31-B33*B32</f>
        <v>0</v>
      </c>
      <c r="C34" s="1" t="s">
        <v>49</v>
      </c>
    </row>
    <row r="38" spans="1:5" ht="15.75" x14ac:dyDescent="0.25">
      <c r="E38" s="5"/>
    </row>
    <row r="39" spans="1:5" ht="15.75" x14ac:dyDescent="0.25">
      <c r="E39" s="5"/>
    </row>
    <row r="40" spans="1:5" ht="15.75" x14ac:dyDescent="0.25">
      <c r="E40" s="6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мак">
                <anchor>
                  <from>
                    <xdr:col>9</xdr:col>
                    <xdr:colOff>123825</xdr:colOff>
                    <xdr:row>1</xdr:row>
                    <xdr:rowOff>161925</xdr:rowOff>
                  </from>
                  <to>
                    <xdr:col>13</xdr:col>
                    <xdr:colOff>238125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>
      <selection activeCell="H13" sqref="H13"/>
    </sheetView>
  </sheetViews>
  <sheetFormatPr defaultRowHeight="15" x14ac:dyDescent="0.25"/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граф">
                <anchor>
                  <from>
                    <xdr:col>0</xdr:col>
                    <xdr:colOff>428625</xdr:colOff>
                    <xdr:row>1</xdr:row>
                    <xdr:rowOff>66675</xdr:rowOff>
                  </from>
                  <to>
                    <xdr:col>4</xdr:col>
                    <xdr:colOff>400050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п_п">
                <anchor>
                  <from>
                    <xdr:col>0</xdr:col>
                    <xdr:colOff>419100</xdr:colOff>
                    <xdr:row>6</xdr:row>
                    <xdr:rowOff>123825</xdr:rowOff>
                  </from>
                  <to>
                    <xdr:col>4</xdr:col>
                    <xdr:colOff>419100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таб">
                <anchor>
                  <from>
                    <xdr:col>0</xdr:col>
                    <xdr:colOff>457200</xdr:colOff>
                    <xdr:row>12</xdr:row>
                    <xdr:rowOff>76200</xdr:rowOff>
                  </from>
                  <to>
                    <xdr:col>4</xdr:col>
                    <xdr:colOff>409575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B70D8-3ABB-4650-9200-9EF3D7405171}">
  <dimension ref="A1:BD56"/>
  <sheetViews>
    <sheetView tabSelected="1" topLeftCell="C1" zoomScale="85" zoomScaleNormal="85" workbookViewId="0">
      <selection activeCell="Q1" sqref="Q1"/>
    </sheetView>
  </sheetViews>
  <sheetFormatPr defaultRowHeight="15" x14ac:dyDescent="0.25"/>
  <cols>
    <col min="2" max="2" width="17.5703125" customWidth="1"/>
    <col min="3" max="3" width="11.28515625" customWidth="1"/>
    <col min="4" max="4" width="22" customWidth="1"/>
    <col min="5" max="5" width="14.7109375" customWidth="1"/>
    <col min="6" max="6" width="10.42578125" bestFit="1" customWidth="1"/>
    <col min="8" max="8" width="17.85546875" bestFit="1" customWidth="1"/>
    <col min="9" max="9" width="22.5703125" bestFit="1" customWidth="1"/>
    <col min="10" max="10" width="22.85546875" bestFit="1" customWidth="1"/>
    <col min="11" max="11" width="22.5703125" bestFit="1" customWidth="1"/>
    <col min="12" max="12" width="21.140625" bestFit="1" customWidth="1"/>
    <col min="13" max="13" width="9.85546875" bestFit="1" customWidth="1"/>
    <col min="14" max="14" width="7.7109375" bestFit="1" customWidth="1"/>
    <col min="15" max="15" width="6.42578125" bestFit="1" customWidth="1"/>
    <col min="16" max="16" width="9.85546875" bestFit="1" customWidth="1"/>
    <col min="17" max="17" width="6.85546875" bestFit="1" customWidth="1"/>
    <col min="18" max="18" width="9" bestFit="1" customWidth="1"/>
    <col min="19" max="19" width="10.7109375" bestFit="1" customWidth="1"/>
    <col min="20" max="20" width="11.85546875" bestFit="1" customWidth="1"/>
    <col min="21" max="21" width="22.85546875" bestFit="1" customWidth="1"/>
    <col min="22" max="22" width="23.85546875" bestFit="1" customWidth="1"/>
    <col min="23" max="23" width="22.85546875" bestFit="1" customWidth="1"/>
    <col min="24" max="24" width="12.28515625" bestFit="1" customWidth="1"/>
    <col min="25" max="25" width="11.28515625" bestFit="1" customWidth="1"/>
    <col min="26" max="26" width="21.140625" customWidth="1"/>
    <col min="27" max="30" width="9.5703125" bestFit="1" customWidth="1"/>
    <col min="31" max="52" width="10.5703125" bestFit="1" customWidth="1"/>
    <col min="53" max="55" width="9.5703125" bestFit="1" customWidth="1"/>
    <col min="56" max="57" width="12.28515625" bestFit="1" customWidth="1"/>
  </cols>
  <sheetData>
    <row r="1" spans="1:56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H1" s="15" t="s">
        <v>121</v>
      </c>
      <c r="I1" s="15" t="s">
        <v>62</v>
      </c>
      <c r="J1" s="15" t="s">
        <v>65</v>
      </c>
      <c r="K1" s="15" t="s">
        <v>65</v>
      </c>
      <c r="L1" s="15" t="s">
        <v>122</v>
      </c>
      <c r="U1" s="15"/>
      <c r="V1" s="15"/>
      <c r="W1" s="15"/>
      <c r="X1" s="15" t="s">
        <v>66</v>
      </c>
      <c r="Y1" s="15"/>
      <c r="Z1" s="15" t="s">
        <v>60</v>
      </c>
      <c r="AA1" s="15"/>
      <c r="AB1" s="15"/>
      <c r="AC1" s="15"/>
      <c r="AD1" s="15"/>
      <c r="AE1" s="15"/>
    </row>
    <row r="2" spans="1:56" x14ac:dyDescent="0.25">
      <c r="A2" s="13" t="s">
        <v>67</v>
      </c>
      <c r="B2" s="14">
        <v>39087</v>
      </c>
      <c r="C2" t="s">
        <v>68</v>
      </c>
      <c r="D2" t="s">
        <v>69</v>
      </c>
      <c r="E2" t="s">
        <v>70</v>
      </c>
      <c r="F2" s="12">
        <v>500</v>
      </c>
      <c r="H2" s="20" t="s">
        <v>71</v>
      </c>
      <c r="J2" s="17">
        <v>2413</v>
      </c>
      <c r="K2" s="15" t="s">
        <v>121</v>
      </c>
      <c r="L2" t="s">
        <v>71</v>
      </c>
      <c r="M2" t="s">
        <v>73</v>
      </c>
      <c r="N2" t="s">
        <v>74</v>
      </c>
      <c r="O2" t="s">
        <v>75</v>
      </c>
      <c r="P2" t="s">
        <v>76</v>
      </c>
      <c r="Q2" t="s">
        <v>68</v>
      </c>
      <c r="R2" t="s">
        <v>23</v>
      </c>
      <c r="S2" t="s">
        <v>77</v>
      </c>
      <c r="T2" t="s">
        <v>78</v>
      </c>
      <c r="X2" s="15" t="s">
        <v>63</v>
      </c>
      <c r="Y2" s="15" t="s">
        <v>61</v>
      </c>
      <c r="Z2" s="18">
        <v>39087</v>
      </c>
      <c r="AA2" s="19">
        <v>39088</v>
      </c>
      <c r="AB2" s="19">
        <v>39089</v>
      </c>
      <c r="AC2" s="19">
        <v>39090</v>
      </c>
      <c r="AD2" s="19">
        <v>39091</v>
      </c>
      <c r="AE2" s="19">
        <v>39092</v>
      </c>
      <c r="AF2" s="19">
        <v>39093</v>
      </c>
      <c r="AG2" s="19">
        <v>39094</v>
      </c>
      <c r="AH2" s="19">
        <v>39095</v>
      </c>
      <c r="AI2" s="19">
        <v>39096</v>
      </c>
      <c r="AJ2" s="19">
        <v>39097</v>
      </c>
      <c r="AK2" s="19">
        <v>39098</v>
      </c>
      <c r="AL2" s="19">
        <v>39099</v>
      </c>
      <c r="AM2" s="19">
        <v>39100</v>
      </c>
      <c r="AN2" s="19">
        <v>39101</v>
      </c>
      <c r="AO2" s="19">
        <v>39102</v>
      </c>
      <c r="AP2" s="19">
        <v>39103</v>
      </c>
      <c r="AQ2" s="19">
        <v>39104</v>
      </c>
      <c r="AR2" s="19">
        <v>39105</v>
      </c>
      <c r="AS2" s="19">
        <v>39106</v>
      </c>
      <c r="AT2" s="19">
        <v>39107</v>
      </c>
      <c r="AU2" s="19">
        <v>39108</v>
      </c>
      <c r="AV2" s="19">
        <v>39109</v>
      </c>
      <c r="AW2" s="19">
        <v>39110</v>
      </c>
      <c r="AX2" s="19">
        <v>39111</v>
      </c>
      <c r="AY2" s="19">
        <v>39112</v>
      </c>
      <c r="AZ2" s="19">
        <v>39113</v>
      </c>
      <c r="BA2" s="19">
        <v>39114</v>
      </c>
      <c r="BB2" s="19">
        <v>39115</v>
      </c>
      <c r="BC2" s="19">
        <v>39116</v>
      </c>
      <c r="BD2" s="19" t="s">
        <v>78</v>
      </c>
    </row>
    <row r="3" spans="1:56" x14ac:dyDescent="0.25">
      <c r="A3" s="13" t="s">
        <v>79</v>
      </c>
      <c r="B3" s="14">
        <v>39088</v>
      </c>
      <c r="C3" t="s">
        <v>73</v>
      </c>
      <c r="D3" t="s">
        <v>80</v>
      </c>
      <c r="E3" t="s">
        <v>81</v>
      </c>
      <c r="F3" s="12">
        <v>100</v>
      </c>
      <c r="I3" s="20" t="s">
        <v>82</v>
      </c>
      <c r="J3" s="17">
        <v>490</v>
      </c>
      <c r="K3" s="20" t="s">
        <v>82</v>
      </c>
      <c r="L3" s="16">
        <v>8.2909058914500458E-4</v>
      </c>
      <c r="M3" s="16">
        <v>0</v>
      </c>
      <c r="N3" s="16">
        <v>1.5685040329335088E-2</v>
      </c>
      <c r="O3" s="16">
        <v>0</v>
      </c>
      <c r="P3" s="16">
        <v>3.4855645176300192E-3</v>
      </c>
      <c r="Q3" s="16">
        <v>4.3992561873000243E-3</v>
      </c>
      <c r="R3" s="16">
        <v>6.0168288469380328E-3</v>
      </c>
      <c r="S3" s="16">
        <v>5.1268254798150282E-4</v>
      </c>
      <c r="T3" s="16">
        <v>3.0928463018329671E-2</v>
      </c>
      <c r="X3" t="s">
        <v>83</v>
      </c>
      <c r="Y3" t="s">
        <v>71</v>
      </c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>
        <v>1</v>
      </c>
      <c r="AW3" s="17"/>
      <c r="AX3" s="17"/>
      <c r="AY3" s="17"/>
      <c r="AZ3" s="17"/>
      <c r="BA3" s="17"/>
      <c r="BB3" s="17"/>
      <c r="BC3" s="17"/>
      <c r="BD3" s="17">
        <v>1</v>
      </c>
    </row>
    <row r="4" spans="1:56" x14ac:dyDescent="0.25">
      <c r="A4" s="13" t="s">
        <v>84</v>
      </c>
      <c r="B4" s="14">
        <v>39089</v>
      </c>
      <c r="C4" t="s">
        <v>71</v>
      </c>
      <c r="D4" t="s">
        <v>72</v>
      </c>
      <c r="E4" t="s">
        <v>85</v>
      </c>
      <c r="F4" s="12">
        <v>1150</v>
      </c>
      <c r="I4" s="20" t="s">
        <v>80</v>
      </c>
      <c r="J4" s="17">
        <v>470</v>
      </c>
      <c r="K4" s="20" t="s">
        <v>80</v>
      </c>
      <c r="L4" s="16">
        <v>7.9525015693500433E-4</v>
      </c>
      <c r="M4" s="16">
        <v>1.6920216105000094E-4</v>
      </c>
      <c r="N4" s="16">
        <v>0.79525015693500434</v>
      </c>
      <c r="O4" s="16">
        <v>7.6140972472500418E-4</v>
      </c>
      <c r="P4" s="16">
        <v>1.2267156676125067E-2</v>
      </c>
      <c r="Q4" s="16">
        <v>0</v>
      </c>
      <c r="R4" s="16">
        <v>0</v>
      </c>
      <c r="S4" s="16">
        <v>0</v>
      </c>
      <c r="T4" s="16">
        <v>0.80924317565383941</v>
      </c>
      <c r="Y4" t="s">
        <v>74</v>
      </c>
      <c r="Z4" s="17"/>
      <c r="AA4" s="17"/>
      <c r="AB4" s="17"/>
      <c r="AC4" s="17"/>
      <c r="AD4" s="17">
        <v>1</v>
      </c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  <c r="AZ4" s="17"/>
      <c r="BA4" s="17"/>
      <c r="BB4" s="17"/>
      <c r="BC4" s="17"/>
      <c r="BD4" s="17">
        <v>1</v>
      </c>
    </row>
    <row r="5" spans="1:56" x14ac:dyDescent="0.25">
      <c r="A5" s="13" t="s">
        <v>86</v>
      </c>
      <c r="B5" s="14">
        <v>39090</v>
      </c>
      <c r="C5" t="s">
        <v>74</v>
      </c>
      <c r="D5" t="s">
        <v>82</v>
      </c>
      <c r="E5" t="s">
        <v>87</v>
      </c>
      <c r="F5" s="12">
        <v>1500</v>
      </c>
      <c r="I5" s="20" t="s">
        <v>69</v>
      </c>
      <c r="J5" s="17">
        <v>303</v>
      </c>
      <c r="K5" s="20" t="s">
        <v>69</v>
      </c>
      <c r="L5" s="16">
        <v>5.1268254798150282E-4</v>
      </c>
      <c r="M5" s="16">
        <v>5.9220756367500324E-4</v>
      </c>
      <c r="N5" s="16">
        <v>7.9609616774025446E-3</v>
      </c>
      <c r="O5" s="16">
        <v>1.7275540643205095E-3</v>
      </c>
      <c r="P5" s="16">
        <v>0</v>
      </c>
      <c r="Q5" s="16">
        <v>1.438218368925008E-3</v>
      </c>
      <c r="R5" s="16">
        <v>6.0168288469380328E-3</v>
      </c>
      <c r="S5" s="16">
        <v>0</v>
      </c>
      <c r="T5" s="16">
        <v>1.8248453069242599E-2</v>
      </c>
      <c r="Y5" t="s">
        <v>75</v>
      </c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>
        <v>1</v>
      </c>
      <c r="AX5" s="17"/>
      <c r="AY5" s="17"/>
      <c r="AZ5" s="17"/>
      <c r="BA5" s="17"/>
      <c r="BB5" s="17"/>
      <c r="BC5" s="17"/>
      <c r="BD5" s="17">
        <v>1</v>
      </c>
    </row>
    <row r="6" spans="1:56" x14ac:dyDescent="0.25">
      <c r="A6" s="13" t="s">
        <v>88</v>
      </c>
      <c r="B6" s="14">
        <v>39091</v>
      </c>
      <c r="C6" t="s">
        <v>74</v>
      </c>
      <c r="D6" t="s">
        <v>80</v>
      </c>
      <c r="E6" t="s">
        <v>83</v>
      </c>
      <c r="F6" s="12">
        <v>400000</v>
      </c>
      <c r="I6" s="20" t="s">
        <v>72</v>
      </c>
      <c r="J6" s="17">
        <v>1150</v>
      </c>
      <c r="K6" s="20" t="s">
        <v>72</v>
      </c>
      <c r="L6" s="16">
        <v>1.9458248520750107E-3</v>
      </c>
      <c r="M6" s="16">
        <v>0.1264870754929282</v>
      </c>
      <c r="N6" s="16">
        <v>0</v>
      </c>
      <c r="O6" s="16">
        <v>0</v>
      </c>
      <c r="P6" s="16">
        <v>0</v>
      </c>
      <c r="Q6" s="16">
        <v>1.3147007913585073E-2</v>
      </c>
      <c r="R6" s="16">
        <v>0</v>
      </c>
      <c r="S6" s="16">
        <v>0</v>
      </c>
      <c r="T6" s="16">
        <v>0.14157990825858827</v>
      </c>
      <c r="Y6" t="s">
        <v>76</v>
      </c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>
        <v>1</v>
      </c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>
        <v>1</v>
      </c>
      <c r="AY6" s="17"/>
      <c r="AZ6" s="17"/>
      <c r="BA6" s="17"/>
      <c r="BB6" s="17"/>
      <c r="BC6" s="17"/>
      <c r="BD6" s="17">
        <v>2</v>
      </c>
    </row>
    <row r="7" spans="1:56" x14ac:dyDescent="0.25">
      <c r="A7" s="13" t="s">
        <v>89</v>
      </c>
      <c r="B7" s="14">
        <v>39092</v>
      </c>
      <c r="C7" t="s">
        <v>76</v>
      </c>
      <c r="D7" t="s">
        <v>82</v>
      </c>
      <c r="E7" t="s">
        <v>85</v>
      </c>
      <c r="F7" s="12">
        <v>40</v>
      </c>
      <c r="H7" s="20" t="s">
        <v>73</v>
      </c>
      <c r="J7" s="17">
        <v>75205</v>
      </c>
      <c r="K7" s="20" t="s">
        <v>78</v>
      </c>
      <c r="L7" s="16">
        <v>4.0828481461365222E-3</v>
      </c>
      <c r="M7" s="16">
        <v>0.1272484852176532</v>
      </c>
      <c r="N7" s="16">
        <v>0.81889615894174206</v>
      </c>
      <c r="O7" s="16">
        <v>2.4889637890455137E-3</v>
      </c>
      <c r="P7" s="16">
        <v>1.5752721193755086E-2</v>
      </c>
      <c r="Q7" s="16">
        <v>1.8984482469810104E-2</v>
      </c>
      <c r="R7" s="16">
        <v>1.2033657693876066E-2</v>
      </c>
      <c r="S7" s="16">
        <v>5.1268254798150282E-4</v>
      </c>
      <c r="T7" s="16">
        <v>1</v>
      </c>
      <c r="X7" t="s">
        <v>90</v>
      </c>
      <c r="Z7" s="17"/>
      <c r="AA7" s="17"/>
      <c r="AB7" s="17"/>
      <c r="AC7" s="17"/>
      <c r="AD7" s="17">
        <v>1</v>
      </c>
      <c r="AE7" s="17"/>
      <c r="AF7" s="17"/>
      <c r="AG7" s="17"/>
      <c r="AH7" s="17"/>
      <c r="AI7" s="17"/>
      <c r="AJ7" s="17"/>
      <c r="AK7" s="17"/>
      <c r="AL7" s="17"/>
      <c r="AM7" s="17">
        <v>1</v>
      </c>
      <c r="AN7" s="17"/>
      <c r="AO7" s="17"/>
      <c r="AP7" s="17"/>
      <c r="AQ7" s="17"/>
      <c r="AR7" s="17"/>
      <c r="AS7" s="17"/>
      <c r="AT7" s="17"/>
      <c r="AU7" s="17"/>
      <c r="AV7" s="17">
        <v>1</v>
      </c>
      <c r="AW7" s="17">
        <v>1</v>
      </c>
      <c r="AX7" s="17">
        <v>1</v>
      </c>
      <c r="AY7" s="17"/>
      <c r="AZ7" s="17"/>
      <c r="BA7" s="17"/>
      <c r="BB7" s="17"/>
      <c r="BC7" s="17"/>
      <c r="BD7" s="17">
        <v>5</v>
      </c>
    </row>
    <row r="8" spans="1:56" x14ac:dyDescent="0.25">
      <c r="A8" s="13" t="s">
        <v>91</v>
      </c>
      <c r="B8" s="14">
        <v>39093</v>
      </c>
      <c r="C8" t="s">
        <v>23</v>
      </c>
      <c r="D8" t="s">
        <v>69</v>
      </c>
      <c r="E8" t="s">
        <v>85</v>
      </c>
      <c r="F8" s="12">
        <v>3556</v>
      </c>
      <c r="I8" s="20" t="s">
        <v>80</v>
      </c>
      <c r="J8" s="17">
        <v>100</v>
      </c>
      <c r="X8" t="s">
        <v>87</v>
      </c>
      <c r="Y8" t="s">
        <v>73</v>
      </c>
      <c r="Z8" s="17"/>
      <c r="AA8" s="17"/>
      <c r="AB8" s="17"/>
      <c r="AC8" s="17"/>
      <c r="AD8" s="17"/>
      <c r="AE8" s="17"/>
      <c r="AF8" s="17"/>
      <c r="AG8" s="17">
        <v>1</v>
      </c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>
        <v>1</v>
      </c>
    </row>
    <row r="9" spans="1:56" x14ac:dyDescent="0.25">
      <c r="A9" s="13" t="s">
        <v>92</v>
      </c>
      <c r="B9" s="14">
        <v>39094</v>
      </c>
      <c r="C9" t="s">
        <v>73</v>
      </c>
      <c r="D9" t="s">
        <v>72</v>
      </c>
      <c r="E9" t="s">
        <v>93</v>
      </c>
      <c r="F9" s="12">
        <v>350</v>
      </c>
      <c r="I9" s="20" t="s">
        <v>69</v>
      </c>
      <c r="J9" s="17">
        <v>350</v>
      </c>
      <c r="Y9" t="s">
        <v>74</v>
      </c>
      <c r="Z9" s="17"/>
      <c r="AA9" s="17"/>
      <c r="AB9" s="17"/>
      <c r="AC9" s="17">
        <v>1</v>
      </c>
      <c r="AD9" s="17"/>
      <c r="AE9" s="17"/>
      <c r="AF9" s="17"/>
      <c r="AG9" s="17"/>
      <c r="AH9" s="17"/>
      <c r="AI9" s="17"/>
      <c r="AJ9" s="17"/>
      <c r="AK9" s="17">
        <v>1</v>
      </c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>
        <v>1</v>
      </c>
      <c r="BB9" s="17"/>
      <c r="BC9" s="17"/>
      <c r="BD9" s="17">
        <v>3</v>
      </c>
    </row>
    <row r="10" spans="1:56" x14ac:dyDescent="0.25">
      <c r="A10" s="13" t="s">
        <v>94</v>
      </c>
      <c r="B10" s="14">
        <v>39095</v>
      </c>
      <c r="C10" t="s">
        <v>68</v>
      </c>
      <c r="D10" t="s">
        <v>72</v>
      </c>
      <c r="E10" t="s">
        <v>81</v>
      </c>
      <c r="F10" s="12">
        <v>7770</v>
      </c>
      <c r="I10" s="20" t="s">
        <v>72</v>
      </c>
      <c r="J10" s="17">
        <v>74755</v>
      </c>
      <c r="Y10" t="s">
        <v>75</v>
      </c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  <c r="AZ10" s="17"/>
      <c r="BA10" s="17"/>
      <c r="BB10" s="17"/>
      <c r="BC10" s="17">
        <v>1</v>
      </c>
      <c r="BD10" s="17">
        <v>1</v>
      </c>
    </row>
    <row r="11" spans="1:56" x14ac:dyDescent="0.25">
      <c r="A11" s="13" t="s">
        <v>95</v>
      </c>
      <c r="B11" s="14">
        <v>39096</v>
      </c>
      <c r="C11" t="s">
        <v>73</v>
      </c>
      <c r="D11" t="s">
        <v>69</v>
      </c>
      <c r="E11" t="s">
        <v>85</v>
      </c>
      <c r="F11" s="12">
        <v>350</v>
      </c>
      <c r="H11" s="20" t="s">
        <v>74</v>
      </c>
      <c r="J11" s="17">
        <v>483975</v>
      </c>
      <c r="Y11" t="s">
        <v>68</v>
      </c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>
        <v>1</v>
      </c>
      <c r="BC11" s="17"/>
      <c r="BD11" s="17">
        <v>1</v>
      </c>
    </row>
    <row r="12" spans="1:56" x14ac:dyDescent="0.25">
      <c r="A12" s="13" t="s">
        <v>96</v>
      </c>
      <c r="B12" s="14">
        <v>39097</v>
      </c>
      <c r="C12" t="s">
        <v>74</v>
      </c>
      <c r="D12" t="s">
        <v>69</v>
      </c>
      <c r="E12" t="s">
        <v>70</v>
      </c>
      <c r="F12" s="12">
        <v>4405</v>
      </c>
      <c r="I12" s="20" t="s">
        <v>82</v>
      </c>
      <c r="J12" s="17">
        <v>9270</v>
      </c>
      <c r="Y12" t="s">
        <v>23</v>
      </c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>
        <v>1</v>
      </c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>
        <v>1</v>
      </c>
    </row>
    <row r="13" spans="1:56" x14ac:dyDescent="0.25">
      <c r="A13" s="13" t="s">
        <v>97</v>
      </c>
      <c r="B13" s="14">
        <v>39098</v>
      </c>
      <c r="C13" t="s">
        <v>74</v>
      </c>
      <c r="D13" t="s">
        <v>80</v>
      </c>
      <c r="E13" t="s">
        <v>87</v>
      </c>
      <c r="F13" s="12">
        <v>70000</v>
      </c>
      <c r="I13" s="20" t="s">
        <v>80</v>
      </c>
      <c r="J13" s="17">
        <v>470000</v>
      </c>
      <c r="Y13" t="s">
        <v>77</v>
      </c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>
        <v>1</v>
      </c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  <c r="AZ13" s="17"/>
      <c r="BA13" s="17"/>
      <c r="BB13" s="17"/>
      <c r="BC13" s="17"/>
      <c r="BD13" s="17">
        <v>1</v>
      </c>
    </row>
    <row r="14" spans="1:56" x14ac:dyDescent="0.25">
      <c r="A14" s="13" t="s">
        <v>98</v>
      </c>
      <c r="B14" s="14">
        <v>39099</v>
      </c>
      <c r="C14" t="s">
        <v>77</v>
      </c>
      <c r="D14" t="s">
        <v>82</v>
      </c>
      <c r="E14" t="s">
        <v>87</v>
      </c>
      <c r="F14" s="12">
        <v>303</v>
      </c>
      <c r="I14" s="20" t="s">
        <v>69</v>
      </c>
      <c r="J14" s="17">
        <v>4705</v>
      </c>
      <c r="X14" t="s">
        <v>99</v>
      </c>
      <c r="Z14" s="17"/>
      <c r="AA14" s="17"/>
      <c r="AB14" s="17"/>
      <c r="AC14" s="17">
        <v>1</v>
      </c>
      <c r="AD14" s="17"/>
      <c r="AE14" s="17"/>
      <c r="AF14" s="17"/>
      <c r="AG14" s="17">
        <v>1</v>
      </c>
      <c r="AH14" s="17"/>
      <c r="AI14" s="17"/>
      <c r="AJ14" s="17"/>
      <c r="AK14" s="17">
        <v>1</v>
      </c>
      <c r="AL14" s="17">
        <v>1</v>
      </c>
      <c r="AM14" s="17"/>
      <c r="AN14" s="17"/>
      <c r="AO14" s="17"/>
      <c r="AP14" s="17">
        <v>1</v>
      </c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>
        <v>1</v>
      </c>
      <c r="BB14" s="17">
        <v>1</v>
      </c>
      <c r="BC14" s="17">
        <v>1</v>
      </c>
      <c r="BD14" s="17">
        <v>8</v>
      </c>
    </row>
    <row r="15" spans="1:56" x14ac:dyDescent="0.25">
      <c r="A15" s="13" t="s">
        <v>100</v>
      </c>
      <c r="B15" s="14">
        <v>39100</v>
      </c>
      <c r="C15" t="s">
        <v>76</v>
      </c>
      <c r="D15" t="s">
        <v>82</v>
      </c>
      <c r="E15" t="s">
        <v>83</v>
      </c>
      <c r="F15" s="12">
        <v>2020</v>
      </c>
      <c r="H15" s="20" t="s">
        <v>75</v>
      </c>
      <c r="J15" s="17">
        <v>1471</v>
      </c>
      <c r="X15" t="s">
        <v>85</v>
      </c>
      <c r="Y15" t="s">
        <v>71</v>
      </c>
      <c r="Z15" s="17"/>
      <c r="AA15" s="17"/>
      <c r="AB15" s="17">
        <v>1</v>
      </c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>
        <v>1</v>
      </c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  <c r="AZ15" s="17"/>
      <c r="BA15" s="17"/>
      <c r="BB15" s="17"/>
      <c r="BC15" s="17"/>
      <c r="BD15" s="17">
        <v>2</v>
      </c>
    </row>
    <row r="16" spans="1:56" x14ac:dyDescent="0.25">
      <c r="A16" s="13" t="s">
        <v>101</v>
      </c>
      <c r="B16" s="14">
        <v>39101</v>
      </c>
      <c r="C16" t="s">
        <v>71</v>
      </c>
      <c r="D16" t="s">
        <v>80</v>
      </c>
      <c r="E16" t="s">
        <v>85</v>
      </c>
      <c r="F16" s="12">
        <v>470</v>
      </c>
      <c r="I16" s="20" t="s">
        <v>80</v>
      </c>
      <c r="J16" s="17">
        <v>450</v>
      </c>
      <c r="Y16" t="s">
        <v>73</v>
      </c>
      <c r="Z16" s="17"/>
      <c r="AA16" s="17"/>
      <c r="AB16" s="17"/>
      <c r="AC16" s="17"/>
      <c r="AD16" s="17"/>
      <c r="AE16" s="17"/>
      <c r="AF16" s="17"/>
      <c r="AG16" s="17"/>
      <c r="AH16" s="17"/>
      <c r="AI16" s="17">
        <v>1</v>
      </c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>
        <v>1</v>
      </c>
      <c r="AV16" s="17"/>
      <c r="AW16" s="17"/>
      <c r="AX16" s="17"/>
      <c r="AY16" s="17"/>
      <c r="AZ16" s="17"/>
      <c r="BA16" s="17"/>
      <c r="BB16" s="17"/>
      <c r="BC16" s="17"/>
      <c r="BD16" s="17">
        <v>2</v>
      </c>
    </row>
    <row r="17" spans="1:56" x14ac:dyDescent="0.25">
      <c r="A17" s="13" t="s">
        <v>102</v>
      </c>
      <c r="B17" s="14">
        <v>39102</v>
      </c>
      <c r="C17" t="s">
        <v>75</v>
      </c>
      <c r="D17" t="s">
        <v>69</v>
      </c>
      <c r="E17" t="s">
        <v>85</v>
      </c>
      <c r="F17" s="12">
        <v>521</v>
      </c>
      <c r="I17" s="20" t="s">
        <v>69</v>
      </c>
      <c r="J17" s="17">
        <v>1021</v>
      </c>
      <c r="Y17" t="s">
        <v>75</v>
      </c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>
        <v>1</v>
      </c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  <c r="BA17" s="17"/>
      <c r="BB17" s="17"/>
      <c r="BC17" s="17"/>
      <c r="BD17" s="17">
        <v>1</v>
      </c>
    </row>
    <row r="18" spans="1:56" x14ac:dyDescent="0.25">
      <c r="A18" s="13" t="s">
        <v>103</v>
      </c>
      <c r="B18" s="14">
        <v>39103</v>
      </c>
      <c r="C18" t="s">
        <v>23</v>
      </c>
      <c r="D18" t="s">
        <v>104</v>
      </c>
      <c r="E18" t="s">
        <v>87</v>
      </c>
      <c r="F18" s="12">
        <v>3556</v>
      </c>
      <c r="H18" s="20" t="s">
        <v>76</v>
      </c>
      <c r="J18" s="17">
        <v>9310</v>
      </c>
      <c r="Y18" t="s">
        <v>76</v>
      </c>
      <c r="Z18" s="17"/>
      <c r="AA18" s="17"/>
      <c r="AB18" s="17"/>
      <c r="AC18" s="17"/>
      <c r="AD18" s="17"/>
      <c r="AE18" s="17">
        <v>1</v>
      </c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  <c r="BA18" s="17"/>
      <c r="BB18" s="17"/>
      <c r="BC18" s="17"/>
      <c r="BD18" s="17">
        <v>1</v>
      </c>
    </row>
    <row r="19" spans="1:56" x14ac:dyDescent="0.25">
      <c r="A19" s="13" t="s">
        <v>105</v>
      </c>
      <c r="B19" s="14">
        <v>39104</v>
      </c>
      <c r="C19" t="s">
        <v>75</v>
      </c>
      <c r="D19" t="s">
        <v>80</v>
      </c>
      <c r="E19" t="s">
        <v>81</v>
      </c>
      <c r="F19" s="12">
        <v>350</v>
      </c>
      <c r="I19" s="20" t="s">
        <v>82</v>
      </c>
      <c r="J19" s="17">
        <v>2060</v>
      </c>
      <c r="Y19" t="s">
        <v>23</v>
      </c>
      <c r="Z19" s="17"/>
      <c r="AA19" s="17"/>
      <c r="AB19" s="17"/>
      <c r="AC19" s="17"/>
      <c r="AD19" s="17"/>
      <c r="AE19" s="17"/>
      <c r="AF19" s="17">
        <v>1</v>
      </c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  <c r="BA19" s="17"/>
      <c r="BB19" s="17"/>
      <c r="BC19" s="17"/>
      <c r="BD19" s="17">
        <v>1</v>
      </c>
    </row>
    <row r="20" spans="1:56" x14ac:dyDescent="0.25">
      <c r="A20" s="13" t="s">
        <v>106</v>
      </c>
      <c r="B20" s="14">
        <v>39105</v>
      </c>
      <c r="C20" t="s">
        <v>74</v>
      </c>
      <c r="D20" t="s">
        <v>82</v>
      </c>
      <c r="E20" t="s">
        <v>81</v>
      </c>
      <c r="F20" s="12">
        <v>7770</v>
      </c>
      <c r="I20" s="20" t="s">
        <v>80</v>
      </c>
      <c r="J20" s="17">
        <v>7250</v>
      </c>
      <c r="X20" t="s">
        <v>107</v>
      </c>
      <c r="Z20" s="17"/>
      <c r="AA20" s="17"/>
      <c r="AB20" s="17">
        <v>1</v>
      </c>
      <c r="AC20" s="17"/>
      <c r="AD20" s="17"/>
      <c r="AE20" s="17">
        <v>1</v>
      </c>
      <c r="AF20" s="17">
        <v>1</v>
      </c>
      <c r="AG20" s="17"/>
      <c r="AH20" s="17"/>
      <c r="AI20" s="17">
        <v>1</v>
      </c>
      <c r="AJ20" s="17"/>
      <c r="AK20" s="17"/>
      <c r="AL20" s="17"/>
      <c r="AM20" s="17"/>
      <c r="AN20" s="17">
        <v>1</v>
      </c>
      <c r="AO20" s="17">
        <v>1</v>
      </c>
      <c r="AP20" s="17"/>
      <c r="AQ20" s="17"/>
      <c r="AR20" s="17"/>
      <c r="AS20" s="17"/>
      <c r="AT20" s="17"/>
      <c r="AU20" s="17">
        <v>1</v>
      </c>
      <c r="AV20" s="17"/>
      <c r="AW20" s="17"/>
      <c r="AX20" s="17"/>
      <c r="AY20" s="17"/>
      <c r="AZ20" s="17"/>
      <c r="BA20" s="17"/>
      <c r="BB20" s="17"/>
      <c r="BC20" s="17"/>
      <c r="BD20" s="17">
        <v>7</v>
      </c>
    </row>
    <row r="21" spans="1:56" x14ac:dyDescent="0.25">
      <c r="A21" s="13" t="s">
        <v>108</v>
      </c>
      <c r="B21" s="14">
        <v>39106</v>
      </c>
      <c r="C21" t="s">
        <v>68</v>
      </c>
      <c r="D21" t="s">
        <v>69</v>
      </c>
      <c r="E21" t="s">
        <v>70</v>
      </c>
      <c r="F21" s="12">
        <v>350</v>
      </c>
      <c r="H21" s="20" t="s">
        <v>68</v>
      </c>
      <c r="J21" s="17">
        <v>11220</v>
      </c>
      <c r="X21" t="s">
        <v>70</v>
      </c>
      <c r="Y21" t="s">
        <v>73</v>
      </c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>
        <v>1</v>
      </c>
      <c r="AU21" s="17"/>
      <c r="AV21" s="17"/>
      <c r="AW21" s="17"/>
      <c r="AX21" s="17"/>
      <c r="AY21" s="17"/>
      <c r="AZ21" s="17"/>
      <c r="BA21" s="17"/>
      <c r="BB21" s="17"/>
      <c r="BC21" s="17"/>
      <c r="BD21" s="17">
        <v>1</v>
      </c>
    </row>
    <row r="22" spans="1:56" x14ac:dyDescent="0.25">
      <c r="A22" s="13" t="s">
        <v>109</v>
      </c>
      <c r="B22" s="14">
        <v>39107</v>
      </c>
      <c r="C22" t="s">
        <v>73</v>
      </c>
      <c r="D22" t="s">
        <v>72</v>
      </c>
      <c r="E22" t="s">
        <v>70</v>
      </c>
      <c r="F22" s="12">
        <v>4405</v>
      </c>
      <c r="I22" s="20" t="s">
        <v>82</v>
      </c>
      <c r="J22" s="17">
        <v>2600</v>
      </c>
      <c r="Y22" t="s">
        <v>74</v>
      </c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>
        <v>1</v>
      </c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  <c r="BA22" s="17"/>
      <c r="BB22" s="17"/>
      <c r="BC22" s="17"/>
      <c r="BD22" s="17">
        <v>1</v>
      </c>
    </row>
    <row r="23" spans="1:56" x14ac:dyDescent="0.25">
      <c r="A23" s="13" t="s">
        <v>110</v>
      </c>
      <c r="B23" s="14">
        <v>39108</v>
      </c>
      <c r="C23" t="s">
        <v>73</v>
      </c>
      <c r="D23" t="s">
        <v>72</v>
      </c>
      <c r="E23" t="s">
        <v>85</v>
      </c>
      <c r="F23" s="12">
        <v>70000</v>
      </c>
      <c r="I23" s="20" t="s">
        <v>69</v>
      </c>
      <c r="J23" s="17">
        <v>850</v>
      </c>
      <c r="Y23" t="s">
        <v>76</v>
      </c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  <c r="AZ23" s="17">
        <v>1</v>
      </c>
      <c r="BA23" s="17"/>
      <c r="BB23" s="17"/>
      <c r="BC23" s="17"/>
      <c r="BD23" s="17">
        <v>1</v>
      </c>
    </row>
    <row r="24" spans="1:56" x14ac:dyDescent="0.25">
      <c r="A24" s="13" t="s">
        <v>111</v>
      </c>
      <c r="B24" s="14">
        <v>39109</v>
      </c>
      <c r="C24" t="s">
        <v>71</v>
      </c>
      <c r="D24" t="s">
        <v>69</v>
      </c>
      <c r="E24" t="s">
        <v>83</v>
      </c>
      <c r="F24" s="12">
        <v>303</v>
      </c>
      <c r="I24" s="20" t="s">
        <v>72</v>
      </c>
      <c r="J24" s="17">
        <v>7770</v>
      </c>
      <c r="Y24" t="s">
        <v>68</v>
      </c>
      <c r="Z24" s="17">
        <v>1</v>
      </c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  <c r="AR24" s="17"/>
      <c r="AS24" s="17">
        <v>1</v>
      </c>
      <c r="AT24" s="17"/>
      <c r="AU24" s="17"/>
      <c r="AV24" s="17"/>
      <c r="AW24" s="17"/>
      <c r="AX24" s="17"/>
      <c r="AY24" s="17"/>
      <c r="AZ24" s="17"/>
      <c r="BA24" s="17"/>
      <c r="BB24" s="17"/>
      <c r="BC24" s="17"/>
      <c r="BD24" s="17">
        <v>2</v>
      </c>
    </row>
    <row r="25" spans="1:56" x14ac:dyDescent="0.25">
      <c r="A25" s="13" t="s">
        <v>112</v>
      </c>
      <c r="B25" s="14">
        <v>39110</v>
      </c>
      <c r="C25" t="s">
        <v>75</v>
      </c>
      <c r="D25" t="s">
        <v>69</v>
      </c>
      <c r="E25" t="s">
        <v>83</v>
      </c>
      <c r="F25" s="12">
        <v>500</v>
      </c>
      <c r="H25" s="20" t="s">
        <v>23</v>
      </c>
      <c r="J25" s="17">
        <v>7112</v>
      </c>
      <c r="X25" t="s">
        <v>113</v>
      </c>
      <c r="Z25" s="17">
        <v>1</v>
      </c>
      <c r="AA25" s="17"/>
      <c r="AB25" s="17"/>
      <c r="AC25" s="17"/>
      <c r="AD25" s="17"/>
      <c r="AE25" s="17"/>
      <c r="AF25" s="17"/>
      <c r="AG25" s="17"/>
      <c r="AH25" s="17"/>
      <c r="AI25" s="17"/>
      <c r="AJ25" s="17">
        <v>1</v>
      </c>
      <c r="AK25" s="17"/>
      <c r="AL25" s="17"/>
      <c r="AM25" s="17"/>
      <c r="AN25" s="17"/>
      <c r="AO25" s="17"/>
      <c r="AP25" s="17"/>
      <c r="AQ25" s="17"/>
      <c r="AR25" s="17"/>
      <c r="AS25" s="17">
        <v>1</v>
      </c>
      <c r="AT25" s="17">
        <v>1</v>
      </c>
      <c r="AU25" s="17"/>
      <c r="AV25" s="17"/>
      <c r="AW25" s="17"/>
      <c r="AX25" s="17"/>
      <c r="AY25" s="17"/>
      <c r="AZ25" s="17">
        <v>1</v>
      </c>
      <c r="BA25" s="17"/>
      <c r="BB25" s="17"/>
      <c r="BC25" s="17"/>
      <c r="BD25" s="17">
        <v>5</v>
      </c>
    </row>
    <row r="26" spans="1:56" x14ac:dyDescent="0.25">
      <c r="A26" s="13" t="s">
        <v>114</v>
      </c>
      <c r="B26" s="14">
        <v>39111</v>
      </c>
      <c r="C26" t="s">
        <v>76</v>
      </c>
      <c r="D26" t="s">
        <v>80</v>
      </c>
      <c r="E26" t="s">
        <v>83</v>
      </c>
      <c r="F26" s="12">
        <v>350</v>
      </c>
      <c r="I26" s="20" t="s">
        <v>82</v>
      </c>
      <c r="J26" s="17">
        <v>3556</v>
      </c>
      <c r="X26" t="s">
        <v>81</v>
      </c>
      <c r="Y26" t="s">
        <v>71</v>
      </c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  <c r="AR26" s="17"/>
      <c r="AS26" s="17"/>
      <c r="AT26" s="17"/>
      <c r="AU26" s="17"/>
      <c r="AV26" s="17"/>
      <c r="AW26" s="17"/>
      <c r="AX26" s="17"/>
      <c r="AY26" s="17">
        <v>1</v>
      </c>
      <c r="AZ26" s="17"/>
      <c r="BA26" s="17"/>
      <c r="BB26" s="17"/>
      <c r="BC26" s="17"/>
      <c r="BD26" s="17">
        <v>1</v>
      </c>
    </row>
    <row r="27" spans="1:56" x14ac:dyDescent="0.25">
      <c r="A27" s="13" t="s">
        <v>115</v>
      </c>
      <c r="B27" s="14">
        <v>39112</v>
      </c>
      <c r="C27" t="s">
        <v>71</v>
      </c>
      <c r="D27" t="s">
        <v>82</v>
      </c>
      <c r="E27" t="s">
        <v>81</v>
      </c>
      <c r="F27" s="12">
        <v>490</v>
      </c>
      <c r="I27" s="20" t="s">
        <v>69</v>
      </c>
      <c r="J27" s="17">
        <v>3556</v>
      </c>
      <c r="K27" s="15" t="s">
        <v>121</v>
      </c>
      <c r="L27" s="15" t="s">
        <v>62</v>
      </c>
      <c r="M27" t="s">
        <v>65</v>
      </c>
      <c r="Y27" t="s">
        <v>73</v>
      </c>
      <c r="Z27" s="17"/>
      <c r="AA27" s="17">
        <v>1</v>
      </c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>
        <v>1</v>
      </c>
    </row>
    <row r="28" spans="1:56" x14ac:dyDescent="0.25">
      <c r="A28" s="13" t="s">
        <v>116</v>
      </c>
      <c r="B28" s="14">
        <v>39113</v>
      </c>
      <c r="C28" t="s">
        <v>76</v>
      </c>
      <c r="D28" t="s">
        <v>80</v>
      </c>
      <c r="E28" t="s">
        <v>70</v>
      </c>
      <c r="F28" s="12">
        <v>6900</v>
      </c>
      <c r="H28" s="20" t="s">
        <v>77</v>
      </c>
      <c r="J28" s="17">
        <v>303</v>
      </c>
      <c r="K28" s="20" t="s">
        <v>71</v>
      </c>
      <c r="M28" s="17">
        <v>2413</v>
      </c>
      <c r="Y28" t="s">
        <v>74</v>
      </c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  <c r="AR28" s="17">
        <v>1</v>
      </c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>
        <v>1</v>
      </c>
    </row>
    <row r="29" spans="1:56" x14ac:dyDescent="0.25">
      <c r="A29" s="13" t="s">
        <v>117</v>
      </c>
      <c r="B29" s="14">
        <v>39114</v>
      </c>
      <c r="C29" t="s">
        <v>74</v>
      </c>
      <c r="D29" t="s">
        <v>69</v>
      </c>
      <c r="E29" t="s">
        <v>87</v>
      </c>
      <c r="F29" s="12">
        <v>300</v>
      </c>
      <c r="I29" s="20" t="s">
        <v>82</v>
      </c>
      <c r="J29" s="17">
        <v>303</v>
      </c>
      <c r="L29" s="20" t="s">
        <v>82</v>
      </c>
      <c r="M29" s="17">
        <v>490</v>
      </c>
      <c r="Y29" t="s">
        <v>75</v>
      </c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>
        <v>1</v>
      </c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>
        <v>1</v>
      </c>
    </row>
    <row r="30" spans="1:56" x14ac:dyDescent="0.25">
      <c r="A30" s="13" t="s">
        <v>118</v>
      </c>
      <c r="B30" s="14">
        <v>39115</v>
      </c>
      <c r="C30" t="s">
        <v>68</v>
      </c>
      <c r="D30" t="s">
        <v>82</v>
      </c>
      <c r="E30" t="s">
        <v>87</v>
      </c>
      <c r="F30" s="12">
        <v>2600</v>
      </c>
      <c r="H30" s="20" t="s">
        <v>78</v>
      </c>
      <c r="J30" s="17">
        <v>591009</v>
      </c>
      <c r="L30" s="20" t="s">
        <v>80</v>
      </c>
      <c r="M30" s="17">
        <v>470</v>
      </c>
      <c r="Y30" t="s">
        <v>68</v>
      </c>
      <c r="Z30" s="17"/>
      <c r="AA30" s="17"/>
      <c r="AB30" s="17"/>
      <c r="AC30" s="17"/>
      <c r="AD30" s="17"/>
      <c r="AE30" s="17"/>
      <c r="AF30" s="17"/>
      <c r="AG30" s="17"/>
      <c r="AH30" s="17">
        <v>1</v>
      </c>
      <c r="AI30" s="17"/>
      <c r="AJ30" s="17"/>
      <c r="AK30" s="17"/>
      <c r="AL30" s="17"/>
      <c r="AM30" s="17"/>
      <c r="AN30" s="17"/>
      <c r="AO30" s="17"/>
      <c r="AP30" s="17"/>
      <c r="AQ30" s="17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>
        <v>1</v>
      </c>
    </row>
    <row r="31" spans="1:56" x14ac:dyDescent="0.25">
      <c r="A31" s="13" t="s">
        <v>119</v>
      </c>
      <c r="B31" s="14">
        <v>39116</v>
      </c>
      <c r="C31" t="s">
        <v>75</v>
      </c>
      <c r="D31" t="s">
        <v>80</v>
      </c>
      <c r="E31" t="s">
        <v>87</v>
      </c>
      <c r="F31" s="12">
        <v>100</v>
      </c>
      <c r="L31" s="20" t="s">
        <v>69</v>
      </c>
      <c r="M31" s="17">
        <v>303</v>
      </c>
      <c r="X31" t="s">
        <v>120</v>
      </c>
      <c r="Z31" s="17"/>
      <c r="AA31" s="17">
        <v>1</v>
      </c>
      <c r="AB31" s="17"/>
      <c r="AC31" s="17"/>
      <c r="AD31" s="17"/>
      <c r="AE31" s="17"/>
      <c r="AF31" s="17"/>
      <c r="AG31" s="17"/>
      <c r="AH31" s="17">
        <v>1</v>
      </c>
      <c r="AI31" s="17"/>
      <c r="AJ31" s="17"/>
      <c r="AK31" s="17"/>
      <c r="AL31" s="17"/>
      <c r="AM31" s="17"/>
      <c r="AN31" s="17"/>
      <c r="AO31" s="17"/>
      <c r="AP31" s="17"/>
      <c r="AQ31" s="17">
        <v>1</v>
      </c>
      <c r="AR31" s="17">
        <v>1</v>
      </c>
      <c r="AS31" s="17"/>
      <c r="AT31" s="17"/>
      <c r="AU31" s="17"/>
      <c r="AV31" s="17"/>
      <c r="AW31" s="17"/>
      <c r="AX31" s="17"/>
      <c r="AY31" s="17">
        <v>1</v>
      </c>
      <c r="AZ31" s="17"/>
      <c r="BA31" s="17"/>
      <c r="BB31" s="17"/>
      <c r="BC31" s="17"/>
      <c r="BD31" s="17">
        <v>5</v>
      </c>
    </row>
    <row r="32" spans="1:56" x14ac:dyDescent="0.25">
      <c r="L32" s="20" t="s">
        <v>72</v>
      </c>
      <c r="M32" s="17">
        <v>1150</v>
      </c>
      <c r="X32" t="s">
        <v>78</v>
      </c>
      <c r="Z32" s="17">
        <v>1</v>
      </c>
      <c r="AA32" s="17">
        <v>1</v>
      </c>
      <c r="AB32" s="17">
        <v>1</v>
      </c>
      <c r="AC32" s="17">
        <v>1</v>
      </c>
      <c r="AD32" s="17">
        <v>1</v>
      </c>
      <c r="AE32" s="17">
        <v>1</v>
      </c>
      <c r="AF32" s="17">
        <v>1</v>
      </c>
      <c r="AG32" s="17">
        <v>1</v>
      </c>
      <c r="AH32" s="17">
        <v>1</v>
      </c>
      <c r="AI32" s="17">
        <v>1</v>
      </c>
      <c r="AJ32" s="17">
        <v>1</v>
      </c>
      <c r="AK32" s="17">
        <v>1</v>
      </c>
      <c r="AL32" s="17">
        <v>1</v>
      </c>
      <c r="AM32" s="17">
        <v>1</v>
      </c>
      <c r="AN32" s="17">
        <v>1</v>
      </c>
      <c r="AO32" s="17">
        <v>1</v>
      </c>
      <c r="AP32" s="17">
        <v>1</v>
      </c>
      <c r="AQ32" s="17">
        <v>1</v>
      </c>
      <c r="AR32" s="17">
        <v>1</v>
      </c>
      <c r="AS32" s="17">
        <v>1</v>
      </c>
      <c r="AT32" s="17">
        <v>1</v>
      </c>
      <c r="AU32" s="17">
        <v>1</v>
      </c>
      <c r="AV32" s="17">
        <v>1</v>
      </c>
      <c r="AW32" s="17">
        <v>1</v>
      </c>
      <c r="AX32" s="17">
        <v>1</v>
      </c>
      <c r="AY32" s="17">
        <v>1</v>
      </c>
      <c r="AZ32" s="17">
        <v>1</v>
      </c>
      <c r="BA32" s="17">
        <v>1</v>
      </c>
      <c r="BB32" s="17">
        <v>1</v>
      </c>
      <c r="BC32" s="17">
        <v>1</v>
      </c>
      <c r="BD32" s="17">
        <v>30</v>
      </c>
    </row>
    <row r="33" spans="3:13" x14ac:dyDescent="0.25">
      <c r="K33" s="20" t="s">
        <v>73</v>
      </c>
      <c r="M33" s="17">
        <v>75205</v>
      </c>
    </row>
    <row r="34" spans="3:13" x14ac:dyDescent="0.25">
      <c r="C34" t="s">
        <v>68</v>
      </c>
      <c r="D34" t="s">
        <v>69</v>
      </c>
      <c r="E34" t="s">
        <v>70</v>
      </c>
      <c r="L34" s="20" t="s">
        <v>80</v>
      </c>
      <c r="M34" s="17">
        <v>100</v>
      </c>
    </row>
    <row r="35" spans="3:13" x14ac:dyDescent="0.25">
      <c r="C35" t="s">
        <v>73</v>
      </c>
      <c r="D35" t="s">
        <v>80</v>
      </c>
      <c r="E35" t="s">
        <v>81</v>
      </c>
      <c r="L35" s="20" t="s">
        <v>69</v>
      </c>
      <c r="M35" s="17">
        <v>350</v>
      </c>
    </row>
    <row r="36" spans="3:13" x14ac:dyDescent="0.25">
      <c r="C36" t="s">
        <v>71</v>
      </c>
      <c r="D36" t="s">
        <v>72</v>
      </c>
      <c r="E36" t="s">
        <v>85</v>
      </c>
      <c r="L36" s="20" t="s">
        <v>72</v>
      </c>
      <c r="M36" s="17">
        <v>74755</v>
      </c>
    </row>
    <row r="37" spans="3:13" x14ac:dyDescent="0.25">
      <c r="C37" t="s">
        <v>74</v>
      </c>
      <c r="D37" t="s">
        <v>82</v>
      </c>
      <c r="E37" t="s">
        <v>87</v>
      </c>
      <c r="K37" s="20" t="s">
        <v>74</v>
      </c>
      <c r="M37" s="17">
        <v>483975</v>
      </c>
    </row>
    <row r="38" spans="3:13" x14ac:dyDescent="0.25">
      <c r="C38" t="s">
        <v>76</v>
      </c>
      <c r="D38" t="s">
        <v>82</v>
      </c>
      <c r="E38" t="s">
        <v>85</v>
      </c>
      <c r="L38" s="20" t="s">
        <v>82</v>
      </c>
      <c r="M38" s="17">
        <v>9270</v>
      </c>
    </row>
    <row r="39" spans="3:13" x14ac:dyDescent="0.25">
      <c r="C39" t="s">
        <v>23</v>
      </c>
      <c r="D39" t="s">
        <v>69</v>
      </c>
      <c r="E39" t="s">
        <v>85</v>
      </c>
      <c r="L39" s="20" t="s">
        <v>80</v>
      </c>
      <c r="M39" s="17">
        <v>470000</v>
      </c>
    </row>
    <row r="40" spans="3:13" x14ac:dyDescent="0.25">
      <c r="C40" t="s">
        <v>77</v>
      </c>
      <c r="D40" t="s">
        <v>82</v>
      </c>
      <c r="E40" t="s">
        <v>87</v>
      </c>
      <c r="L40" s="20" t="s">
        <v>69</v>
      </c>
      <c r="M40" s="17">
        <v>4705</v>
      </c>
    </row>
    <row r="41" spans="3:13" x14ac:dyDescent="0.25">
      <c r="C41" t="s">
        <v>75</v>
      </c>
      <c r="D41" t="s">
        <v>69</v>
      </c>
      <c r="E41" t="s">
        <v>85</v>
      </c>
      <c r="K41" s="20" t="s">
        <v>75</v>
      </c>
      <c r="M41" s="17">
        <v>1471</v>
      </c>
    </row>
    <row r="42" spans="3:13" x14ac:dyDescent="0.25">
      <c r="L42" s="20" t="s">
        <v>80</v>
      </c>
      <c r="M42" s="17">
        <v>450</v>
      </c>
    </row>
    <row r="43" spans="3:13" x14ac:dyDescent="0.25">
      <c r="L43" s="20" t="s">
        <v>69</v>
      </c>
      <c r="M43" s="17">
        <v>1021</v>
      </c>
    </row>
    <row r="44" spans="3:13" x14ac:dyDescent="0.25">
      <c r="K44" s="20" t="s">
        <v>76</v>
      </c>
      <c r="M44" s="17">
        <v>9310</v>
      </c>
    </row>
    <row r="45" spans="3:13" x14ac:dyDescent="0.25">
      <c r="L45" s="20" t="s">
        <v>82</v>
      </c>
      <c r="M45" s="17">
        <v>2060</v>
      </c>
    </row>
    <row r="46" spans="3:13" x14ac:dyDescent="0.25">
      <c r="L46" s="20" t="s">
        <v>80</v>
      </c>
      <c r="M46" s="17">
        <v>7250</v>
      </c>
    </row>
    <row r="47" spans="3:13" x14ac:dyDescent="0.25">
      <c r="K47" s="20" t="s">
        <v>68</v>
      </c>
      <c r="M47" s="17">
        <v>11220</v>
      </c>
    </row>
    <row r="48" spans="3:13" x14ac:dyDescent="0.25">
      <c r="L48" s="20" t="s">
        <v>82</v>
      </c>
      <c r="M48" s="17">
        <v>2600</v>
      </c>
    </row>
    <row r="49" spans="11:13" x14ac:dyDescent="0.25">
      <c r="L49" s="20" t="s">
        <v>69</v>
      </c>
      <c r="M49" s="17">
        <v>850</v>
      </c>
    </row>
    <row r="50" spans="11:13" x14ac:dyDescent="0.25">
      <c r="L50" s="20" t="s">
        <v>72</v>
      </c>
      <c r="M50" s="17">
        <v>7770</v>
      </c>
    </row>
    <row r="51" spans="11:13" x14ac:dyDescent="0.25">
      <c r="K51" s="20" t="s">
        <v>23</v>
      </c>
      <c r="M51" s="17">
        <v>7112</v>
      </c>
    </row>
    <row r="52" spans="11:13" x14ac:dyDescent="0.25">
      <c r="L52" s="20" t="s">
        <v>82</v>
      </c>
      <c r="M52" s="17">
        <v>3556</v>
      </c>
    </row>
    <row r="53" spans="11:13" x14ac:dyDescent="0.25">
      <c r="L53" s="20" t="s">
        <v>69</v>
      </c>
      <c r="M53" s="17">
        <v>3556</v>
      </c>
    </row>
    <row r="54" spans="11:13" x14ac:dyDescent="0.25">
      <c r="K54" s="20" t="s">
        <v>77</v>
      </c>
      <c r="M54" s="17">
        <v>303</v>
      </c>
    </row>
    <row r="55" spans="11:13" x14ac:dyDescent="0.25">
      <c r="L55" s="20" t="s">
        <v>82</v>
      </c>
      <c r="M55" s="17">
        <v>303</v>
      </c>
    </row>
    <row r="56" spans="11:13" x14ac:dyDescent="0.25">
      <c r="K56" s="20" t="s">
        <v>78</v>
      </c>
      <c r="M56" s="17">
        <v>591009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таблица</vt:lpstr>
      <vt:lpstr>график</vt:lpstr>
      <vt:lpstr>подбор параметра</vt:lpstr>
      <vt:lpstr>Макросы</vt:lpstr>
      <vt:lpstr>Сводная таблица</vt:lpstr>
    </vt:vector>
  </TitlesOfParts>
  <Manager/>
  <Company>MIET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8211812</dc:creator>
  <cp:keywords/>
  <dc:description/>
  <cp:lastModifiedBy>Vladis</cp:lastModifiedBy>
  <cp:revision/>
  <dcterms:created xsi:type="dcterms:W3CDTF">2021-10-19T12:02:54Z</dcterms:created>
  <dcterms:modified xsi:type="dcterms:W3CDTF">2021-12-29T09:21:32Z</dcterms:modified>
  <cp:category/>
  <cp:contentStatus/>
</cp:coreProperties>
</file>